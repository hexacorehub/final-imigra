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íses" sheetId="2" state="visible" r:id="rId4"/>
    <sheet name="Procedimentos" sheetId="3" state="visible" r:id="rId5"/>
    <sheet name="Documentos" sheetId="4" state="visible" r:id="rId6"/>
    <sheet name="Etapas" sheetId="5" state="visible" r:id="rId7"/>
    <sheet name="Taxas" sheetId="6" state="visible" r:id="rId8"/>
    <sheet name="Locais SP" sheetId="7" state="visible" r:id="rId9"/>
    <sheet name="Explicações" sheetId="8" state="visible" r:id="rId10"/>
    <sheet name="Fontes" sheetId="9" state="visible" r:id="rId11"/>
  </sheets>
  <definedNames>
    <definedName function="false" hidden="true" localSheetId="3" name="_xlnm._FilterDatabase" vbProcedure="false">Documentos!$A$1:$K$55</definedName>
    <definedName function="false" hidden="true" localSheetId="4" name="_xlnm._FilterDatabase" vbProcedure="false">Etapas!$A$1:$G$32</definedName>
    <definedName function="false" hidden="true" localSheetId="7" name="_xlnm._FilterDatabase" vbProcedure="false">Explicações!$A$1:$F$7</definedName>
    <definedName function="false" hidden="true" localSheetId="8" name="_xlnm._FilterDatabase" vbProcedure="false">Fontes!$A$1:$G$24</definedName>
    <definedName function="false" hidden="true" localSheetId="6" name="_xlnm._FilterDatabase" vbProcedure="false">'Locais SP'!$A$1:$M$10</definedName>
    <definedName function="false" hidden="true" localSheetId="1" name="_xlnm._FilterDatabase" vbProcedure="false">Países!$A$1:$F$27</definedName>
    <definedName function="false" hidden="true" localSheetId="2" name="_xlnm._FilterDatabase" vbProcedure="false">Procedimentos!$A$1:$L$10</definedName>
    <definedName function="false" hidden="true" localSheetId="5" name="_xlnm._FilterDatabase" vbProcedure="false">Taxas!$A$1:$F$7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<sst xmlns="http://schemas.openxmlformats.org/spreadsheetml/2006/main" count="1346" uniqueCount="685">
  <si>
    <t xml:space="preserve">Rumo – Base de conhecimento oficial (v3)</t>
  </si>
  <si>
    <t xml:space="preserve">Escopo: capital de São Paulo. Fluxos: CPF, autorização de residência (Venezuela/Guiana/Suriname, Mercosul, reunião familiar), registro e CRNM, refúgio, comprovante de residência. Verificação feita em 28/10/2026.</t>
  </si>
  <si>
    <t xml:space="preserve">Como ler</t>
  </si>
  <si>
    <t xml:space="preserve">Países</t>
  </si>
  <si>
    <t xml:space="preserve">O usuário escolhe o país manualmente. Esta aba diz quais modalidades a PF oferece para cada nacionalidade e qual fluxo do app usar.</t>
  </si>
  <si>
    <t xml:space="preserve">Procedimentos</t>
  </si>
  <si>
    <t xml:space="preserve">Uma linha por procedimento: órgão, quem pode pedir, canal, custo, prazo, base legal e fontes.</t>
  </si>
  <si>
    <t xml:space="preserve">Documentos</t>
  </si>
  <si>
    <t xml:space="preserve">Cada documento ligado a um procedimento, com status, condição, alternativas e fonte.</t>
  </si>
  <si>
    <t xml:space="preserve">Etapas</t>
  </si>
  <si>
    <t xml:space="preserve">Passo a passo de cada procedimento, com link oficial.</t>
  </si>
  <si>
    <t xml:space="preserve">Taxas</t>
  </si>
  <si>
    <t xml:space="preserve">Valores oficiais e isenções.</t>
  </si>
  <si>
    <t xml:space="preserve">Locais SP</t>
  </si>
  <si>
    <t xml:space="preserve">Onde ir, separando quem processa pedidos de quem só orienta.</t>
  </si>
  <si>
    <t xml:space="preserve">Explicações</t>
  </si>
  <si>
    <t xml:space="preserve">Textos curtos que o app mostra (ex.: o que é o CPF), cada um com status e fonte. Só os confirmados aparecem no app.</t>
  </si>
  <si>
    <t xml:space="preserve">Fontes</t>
  </si>
  <si>
    <t xml:space="preserve">Todas as fontes, com data de atualização da página e se estava acessível.</t>
  </si>
  <si>
    <t xml:space="preserve">Status dos documentos</t>
  </si>
  <si>
    <t xml:space="preserve">Obrigatório</t>
  </si>
  <si>
    <t xml:space="preserve">A fonte oficial exige o documento para aquela situação.</t>
  </si>
  <si>
    <t xml:space="preserve">Condicional</t>
  </si>
  <si>
    <t xml:space="preserve">Só é exigido em certas situações (coluna Condição).</t>
  </si>
  <si>
    <t xml:space="preserve">A confirmar</t>
  </si>
  <si>
    <t xml:space="preserve">Não foi possível confirmar em fonte oficial acessível. O app deve mostrar 'confirme no canal oficial' e nunca apresentar como certo.</t>
  </si>
  <si>
    <t xml:space="preserve">Cores</t>
  </si>
  <si>
    <t xml:space="preserve">Fundo amarelo</t>
  </si>
  <si>
    <t xml:space="preserve">Linha com algo a confirmar, parcial, fonte restrita ou fora do MVP. São os itens para o revisor jurídico.</t>
  </si>
  <si>
    <t xml:space="preserve">Como editar</t>
  </si>
  <si>
    <t xml:space="preserve">Para adicionar um documento, copie uma linha existente da aba Documentos (ex.: a primeira linha de P-CPF) e troque os campos. Toda linha precisa de um process_id que exista em Procedimentos e de uma fonte que exista em Fontes. O resumo abaixo se atualiza sozinho.</t>
  </si>
  <si>
    <t xml:space="preserve">Resumo por procedimento (calculado)</t>
  </si>
  <si>
    <t xml:space="preserve">Procedimento</t>
  </si>
  <si>
    <t xml:space="preserve">Total de documentos</t>
  </si>
  <si>
    <t xml:space="preserve">% confirmado</t>
  </si>
  <si>
    <t xml:space="preserve">P-CPF</t>
  </si>
  <si>
    <t xml:space="preserve">P-RES-VEN</t>
  </si>
  <si>
    <t xml:space="preserve">P-RES-MERCOSUL</t>
  </si>
  <si>
    <t xml:space="preserve">P-RES-REUNIAO</t>
  </si>
  <si>
    <t xml:space="preserve">P-REG-CRNM</t>
  </si>
  <si>
    <t xml:space="preserve">P-REFUGIO</t>
  </si>
  <si>
    <t xml:space="preserve">P-DPRNM</t>
  </si>
  <si>
    <t xml:space="preserve">P-ENDERECO</t>
  </si>
  <si>
    <t xml:space="preserve">P-COMPROVANTE</t>
  </si>
  <si>
    <t xml:space="preserve">Total</t>
  </si>
  <si>
    <t xml:space="preserve">Fontes oficiais restritas (exigiam login)</t>
  </si>
  <si>
    <t xml:space="preserve">Fontes secundárias (não oficiais)</t>
  </si>
  <si>
    <t xml:space="preserve">País</t>
  </si>
  <si>
    <t xml:space="preserve">Grupo</t>
  </si>
  <si>
    <t xml:space="preserve">Modalidades de residência listadas pela PF (S09)</t>
  </si>
  <si>
    <t xml:space="preserve">Fluxo do app (MVP)</t>
  </si>
  <si>
    <t xml:space="preserve">Idioma sugerido</t>
  </si>
  <si>
    <t xml:space="preserve">Observação</t>
  </si>
  <si>
    <t xml:space="preserve">Argentina</t>
  </si>
  <si>
    <t xml:space="preserve">Mercosul</t>
  </si>
  <si>
    <t xml:space="preserve">Acordo Mercosul; Acordo Brasil/Argentina; Fronteiriço</t>
  </si>
  <si>
    <t xml:space="preserve">Español</t>
  </si>
  <si>
    <t xml:space="preserve">Acordo bilateral Brasil/Argentina fora do MVP</t>
  </si>
  <si>
    <t xml:space="preserve">Bolívia</t>
  </si>
  <si>
    <t xml:space="preserve">Acordo Mercosul; Fronteiriço</t>
  </si>
  <si>
    <t xml:space="preserve">Chile</t>
  </si>
  <si>
    <t xml:space="preserve">Acordo Mercosul</t>
  </si>
  <si>
    <t xml:space="preserve">Colômbia</t>
  </si>
  <si>
    <t xml:space="preserve">Equador</t>
  </si>
  <si>
    <t xml:space="preserve">Paraguai</t>
  </si>
  <si>
    <t xml:space="preserve">Peru</t>
  </si>
  <si>
    <t xml:space="preserve">Uruguai</t>
  </si>
  <si>
    <t xml:space="preserve">Acordo Mercosul; Acordo Brasil/Uruguai; Fronteiriço</t>
  </si>
  <si>
    <t xml:space="preserve">Acordo bilateral Brasil/Uruguai fora do MVP</t>
  </si>
  <si>
    <t xml:space="preserve">Venezuela</t>
  </si>
  <si>
    <t xml:space="preserve">Fronteiriço sem acordo Mercosul</t>
  </si>
  <si>
    <t xml:space="preserve">Residência para Venezuela, Suriname e Guiana</t>
  </si>
  <si>
    <t xml:space="preserve">Maior grupo de imigrantes no Brasil</t>
  </si>
  <si>
    <t xml:space="preserve">Guiana</t>
  </si>
  <si>
    <t xml:space="preserve">Residência para Venezuela, Suriname e Guiana; Fronteiriço</t>
  </si>
  <si>
    <t xml:space="preserve">English</t>
  </si>
  <si>
    <t xml:space="preserve">Suriname</t>
  </si>
  <si>
    <t xml:space="preserve">Neerlandês fora do MVP</t>
  </si>
  <si>
    <t xml:space="preserve">Haiti</t>
  </si>
  <si>
    <t xml:space="preserve">Acolhida humanitária</t>
  </si>
  <si>
    <t xml:space="preserve">Cidadãos do Haiti</t>
  </si>
  <si>
    <t xml:space="preserve">FORA DO MVP</t>
  </si>
  <si>
    <t xml:space="preserve">Kreyòl / Français</t>
  </si>
  <si>
    <t xml:space="preserve">Mostrar reunião familiar, refúgio e encaminhamento ao CRAI</t>
  </si>
  <si>
    <t xml:space="preserve">Cuba</t>
  </si>
  <si>
    <t xml:space="preserve">Caso específico</t>
  </si>
  <si>
    <t xml:space="preserve">Cubano que integrou o Mais Médicos</t>
  </si>
  <si>
    <t xml:space="preserve">Demais cubanos: reunião familiar ou refúgio</t>
  </si>
  <si>
    <t xml:space="preserve">Ucrânia</t>
  </si>
  <si>
    <t xml:space="preserve">Cidadãos da Ucrânia e apátridas afetados pelo conflito</t>
  </si>
  <si>
    <t xml:space="preserve">Afeganistão</t>
  </si>
  <si>
    <t xml:space="preserve">Acolhida humanitária – Afeganistão</t>
  </si>
  <si>
    <t xml:space="preserve">Síria</t>
  </si>
  <si>
    <t xml:space="preserve">Acolhida humanitária – Síria (somente prorrogação)</t>
  </si>
  <si>
    <t xml:space="preserve">Senegal</t>
  </si>
  <si>
    <t xml:space="preserve">Senegalês solicitante de refúgio</t>
  </si>
  <si>
    <t xml:space="preserve">Français</t>
  </si>
  <si>
    <t xml:space="preserve">República Dominicana</t>
  </si>
  <si>
    <t xml:space="preserve">Dominicano solicitante de refúgio</t>
  </si>
  <si>
    <t xml:space="preserve">Portugal</t>
  </si>
  <si>
    <t xml:space="preserve">CPLP</t>
  </si>
  <si>
    <t xml:space="preserve">Comunidade de Países de Língua Portuguesa</t>
  </si>
  <si>
    <t xml:space="preserve">Português</t>
  </si>
  <si>
    <t xml:space="preserve">Página da PF acessível; candidato ao 2º lote</t>
  </si>
  <si>
    <t xml:space="preserve">Angola</t>
  </si>
  <si>
    <t xml:space="preserve">Candidato ao 2º lote</t>
  </si>
  <si>
    <t xml:space="preserve">Cabo Verde</t>
  </si>
  <si>
    <t xml:space="preserve">Guiné-Bissau</t>
  </si>
  <si>
    <t xml:space="preserve">Moçambique</t>
  </si>
  <si>
    <t xml:space="preserve">São Tomé e Príncipe</t>
  </si>
  <si>
    <t xml:space="preserve">Timor-Leste</t>
  </si>
  <si>
    <t xml:space="preserve">Todas as nacionalidades</t>
  </si>
  <si>
    <t xml:space="preserve">Geral</t>
  </si>
  <si>
    <t xml:space="preserve">Reunião familiar; criança ou adolescente desacompanhado; vítimas de tráfico ou trabalho escravo; nômade digital; outras</t>
  </si>
  <si>
    <t xml:space="preserve">P-RES-REUNIAO, P-REFUGIO, P-CPF</t>
  </si>
  <si>
    <t xml:space="preserve">—</t>
  </si>
  <si>
    <t xml:space="preserve">Aparecem para qualquer país. Refúgio não é modalidade da S09: vem de S05/S06</t>
  </si>
  <si>
    <t xml:space="preserve">process_id</t>
  </si>
  <si>
    <t xml:space="preserve">Nome</t>
  </si>
  <si>
    <t xml:space="preserve">Jurisdição</t>
  </si>
  <si>
    <t xml:space="preserve">Órgão</t>
  </si>
  <si>
    <t xml:space="preserve">Quem pode usar</t>
  </si>
  <si>
    <t xml:space="preserve">Canal</t>
  </si>
  <si>
    <t xml:space="preserve">Custo</t>
  </si>
  <si>
    <t xml:space="preserve">Prazo / validade</t>
  </si>
  <si>
    <t xml:space="preserve">Base legal</t>
  </si>
  <si>
    <t xml:space="preserve">Status da verificação</t>
  </si>
  <si>
    <t xml:space="preserve">Observações</t>
  </si>
  <si>
    <t xml:space="preserve">Verificado em</t>
  </si>
  <si>
    <t xml:space="preserve">Inscrição no CPF (pessoa estrangeira)</t>
  </si>
  <si>
    <t xml:space="preserve">Federal</t>
  </si>
  <si>
    <t xml:space="preserve">Receita Federal</t>
  </si>
  <si>
    <t xml:space="preserve">Pessoas físicas brasileiras e estrangeiras, residentes e não residentes no Brasil</t>
  </si>
  <si>
    <t xml:space="preserve">Online (formulário 'Inscrever Estrangeiro no CPF'); e-mail; unidades da Receita; conveniados (Correios, Banco do Brasil, Caixa, cartórios)</t>
  </si>
  <si>
    <t xml:space="preserve">Gratuito na Receita; R$ 7,00 nos conveniados</t>
  </si>
  <si>
    <t xml:space="preserve">Cerca de 15 min presencial; cerca de 48 h por e-mail</t>
  </si>
  <si>
    <t xml:space="preserve">A confirmar (instrução normativa da Receita)</t>
  </si>
  <si>
    <t xml:space="preserve">S01</t>
  </si>
  <si>
    <t xml:space="preserve">Confirmado</t>
  </si>
  <si>
    <t xml:space="preserve">CPF é cadastro fiscal: não comprova situação migratória. A página não diz se os conveniados atendem estrangeiros — a confirmar. Regra do app: se a pessoa responde Não ou Não sei à pergunta "Você já tem CPF?", este fluxo entra no caminho automaticamente como etapa 1.</t>
  </si>
  <si>
    <t xml:space="preserve">28/10/2026</t>
  </si>
  <si>
    <t xml:space="preserve">Autorização de residência – Venezuela, Guiana e Suriname (código 273; prazo indeterminado: código 299)</t>
  </si>
  <si>
    <t xml:space="preserve">Polícia Federal</t>
  </si>
  <si>
    <t xml:space="preserve">Nacionais da Venezuela, Guiana ou Suriname. Crianças e incapazes: pedido por um dos pais ou representante legal</t>
  </si>
  <si>
    <t xml:space="preserve">Formulário eletrônico no site da PF + atendimento presencial em unidade da PF (agendar em S20)</t>
  </si>
  <si>
    <t xml:space="preserve">R$ 168,13 + R$ 204,77 quando aplicáveis; isenção por declaração de hipossuficiência</t>
  </si>
  <si>
    <t xml:space="preserve">Temporária: 2 anos (S15 – confirmar na PF). Prazo indeterminado: pedir nos 90 dias antes do vencimento (S15)</t>
  </si>
  <si>
    <t xml:space="preserve">Portaria Interministerial MJSP/MRE nº 19/2021; Decreto nº 9.199/2017</t>
  </si>
  <si>
    <t xml:space="preserve">S10, S15, S08</t>
  </si>
  <si>
    <t xml:space="preserve">Confirmado (documentos); validade a confirmar na PF</t>
  </si>
  <si>
    <t xml:space="preserve">Divergência entre fontes oficiais: a página do MJSP (S04) ainda cita as Portarias 9/2018 e 15/2018 e pede foto 3x4. Seguimos a PF (S10), que cita a Portaria 19/2021 e só pede foto se a biometria falhar.</t>
  </si>
  <si>
    <t xml:space="preserve">Autorização de residência – Acordo sobre Residência do Mercosul</t>
  </si>
  <si>
    <t xml:space="preserve">Nacionais de Argentina, Bolívia, Chile, Colômbia, Equador, Paraguai, Peru e Uruguai (S09)</t>
  </si>
  <si>
    <t xml:space="preserve">Formulário eletrônico no site da PF + atendimento presencial (S03)</t>
  </si>
  <si>
    <t xml:space="preserve">R$ 168,13 + R$ 204,77 quando aplicáveis (S03, S16); isenção por hipossuficiência (S08)</t>
  </si>
  <si>
    <t xml:space="preserve">Temporária: até 2 anos. Permanente: pedir 90 dias antes do vencimento (Decreto 6.975, arts. 4 e 5)</t>
  </si>
  <si>
    <t xml:space="preserve">Decreto nº 6.975/2009 (Argentina, Bolívia, Chile, Paraguai, Uruguai). Adesão de Colômbia, Equador e Peru por outro ato: a confirmar</t>
  </si>
  <si>
    <t xml:space="preserve">S13, S16, S09</t>
  </si>
  <si>
    <t xml:space="preserve">Parcial: norma confirmada; página da PF restrita; lista operacional a confirmar</t>
  </si>
  <si>
    <t xml:space="preserve">A página da PF (S11) exigia login em 28/10/2026. Lista operacional vem de guia universitário (S16).</t>
  </si>
  <si>
    <t xml:space="preserve">Autorização de residência – Reunião familiar com brasileiro ou imigrante com autorização de residência</t>
  </si>
  <si>
    <t xml:space="preserve">Cônjuge ou companheiro; filho de imigrante com AR; quem tem filho brasileiro ou imigrante com AR; ascendente, descendente até 2º grau ou irmão de brasileiro ou de imigrante com AR; quem tem brasileiro sob tutela ou guarda (Lei 13.445, art. 37)</t>
  </si>
  <si>
    <t xml:space="preserve">Formulário eletrônico no site da PF + atendimento presencial (S03, S04)</t>
  </si>
  <si>
    <t xml:space="preserve">R$ 168,13 + R$ 204,77 quando aplicáveis (S04); isenção por hipossuficiência (S08)</t>
  </si>
  <si>
    <t xml:space="preserve">130 a 180 dias corridos (estimativa geral da página do MJSP)</t>
  </si>
  <si>
    <t xml:space="preserve">Lei nº 13.445/2017, art. 37; Decreto nº 9.199/2017; portaria vinculada pelo MJSP: Portaria Interministerial nº 3/2018 (a confirmar)</t>
  </si>
  <si>
    <t xml:space="preserve">S14, S04, S08</t>
  </si>
  <si>
    <t xml:space="preserve">Confirmado no MJSP (S04); página da PF restrita</t>
  </si>
  <si>
    <t xml:space="preserve">A página da PF (S12) exigia login em 28/10/2026. Lista de documentos vem do MJSP (S04).</t>
  </si>
  <si>
    <t xml:space="preserve">Registro migratório e emissão da CRNM</t>
  </si>
  <si>
    <t xml:space="preserve">Imigrantes com visto temporário ou com autorização de residência publicada no DOU; refugiados, apátridas e asilados reconhecidos</t>
  </si>
  <si>
    <t xml:space="preserve">Formulário online + GRU; agendamento; atendimento na PF da circunscrição; retirada da CRNM</t>
  </si>
  <si>
    <t xml:space="preserve">Taxa de emissão da CRNM R$ 204,77 (STN 140120); demais etapas sem custo</t>
  </si>
  <si>
    <t xml:space="preserve">Registrar em 90 dias após a entrada (visto temporário) ou 30 dias após a publicação no DOU (AR). CRNM pronta em média em 30 dias úteis; total até 180 dias</t>
  </si>
  <si>
    <t xml:space="preserve">Decreto nº 9.199/2017 (penalidade: art. 307, IV, segundo a FAQ da PF – S08)</t>
  </si>
  <si>
    <t xml:space="preserve">S02, S08</t>
  </si>
  <si>
    <t xml:space="preserve">Confirmado (etapas, prazos e taxa); lista de documentos a confirmar</t>
  </si>
  <si>
    <t xml:space="preserve">A lista de documentos fica em página da PF que exige login.</t>
  </si>
  <si>
    <t xml:space="preserve">Solicitação de refúgio (primeira vez)</t>
  </si>
  <si>
    <t xml:space="preserve">MJSP / Conare + Polícia Federal</t>
  </si>
  <si>
    <t xml:space="preserve">Pessoas estrangeiras ou apátridas com fundado temor de perseguição (raça, religião, nacionalidade, grupo social, opinião política) ou que deixaram o país por grave e generalizada violação de direitos humanos</t>
  </si>
  <si>
    <t xml:space="preserve">Sisconare (cadastro e solicitação) + agendamento na PF + comparecimento presencial</t>
  </si>
  <si>
    <t xml:space="preserve">Gratuito</t>
  </si>
  <si>
    <t xml:space="preserve">Protocolo de Refúgio válido por 1 ano, renovado na PF até a decisão do Conare. Prazo total estimado: 12 a 24 meses</t>
  </si>
  <si>
    <t xml:space="preserve">Lei nº 9.474/1997</t>
  </si>
  <si>
    <t xml:space="preserve">S05, S06</t>
  </si>
  <si>
    <t xml:space="preserve">Consultar o Sisconare ao menos a cada 30 dias. Cada pessoa da família precisa de agendamento próprio.</t>
  </si>
  <si>
    <t xml:space="preserve">Documento Provisório de Registro Nacional Migratório (DPRNM)</t>
  </si>
  <si>
    <t xml:space="preserve">Imigrantes que estão pedindo ou renovando o refúgio</t>
  </si>
  <si>
    <t xml:space="preserve">Atendimento na PF agendado em 'Solicitar Refúgio' ou 'Renovar Protocolo de Refúgio'</t>
  </si>
  <si>
    <t xml:space="preserve">Até 20 dias corridos para ficar pronto</t>
  </si>
  <si>
    <t xml:space="preserve">S07</t>
  </si>
  <si>
    <t xml:space="preserve">Alteração de endereço no registro migratório</t>
  </si>
  <si>
    <t xml:space="preserve">Imigrante registrado que mudou de endereço</t>
  </si>
  <si>
    <t xml:space="preserve">Formulário eletrônico no site da PF, sem ir à unidade</t>
  </si>
  <si>
    <t xml:space="preserve">S08</t>
  </si>
  <si>
    <t xml:space="preserve">Orientação: comprovante de residência e CEP</t>
  </si>
  <si>
    <t xml:space="preserve">Varia por órgão</t>
  </si>
  <si>
    <t xml:space="preserve">Depende do serviço de destino</t>
  </si>
  <si>
    <t xml:space="preserve">Qualquer pessoa</t>
  </si>
  <si>
    <t xml:space="preserve">Não é um procedimento: orientação para obter e conferir documentos</t>
  </si>
  <si>
    <t xml:space="preserve">Não há lista universal</t>
  </si>
  <si>
    <t xml:space="preserve">S08, S22</t>
  </si>
  <si>
    <t xml:space="preserve">Orientação</t>
  </si>
  <si>
    <t xml:space="preserve">Ter CEP não é ter comprovante. Cada órgão define o que aceita.</t>
  </si>
  <si>
    <t xml:space="preserve">doc_id</t>
  </si>
  <si>
    <t xml:space="preserve">Documento</t>
  </si>
  <si>
    <t xml:space="preserve">Status</t>
  </si>
  <si>
    <t xml:space="preserve">Condição (quando se aplica)</t>
  </si>
  <si>
    <t xml:space="preserve">Alternativas aceitas</t>
  </si>
  <si>
    <t xml:space="preserve">Como obter</t>
  </si>
  <si>
    <t xml:space="preserve">Formalidades (tradução / apostila)</t>
  </si>
  <si>
    <t xml:space="preserve">Etapa em que é apresentado</t>
  </si>
  <si>
    <t xml:space="preserve">Fonte</t>
  </si>
  <si>
    <t xml:space="preserve">D001</t>
  </si>
  <si>
    <t xml:space="preserve">Documento de identificação oficial com foto</t>
  </si>
  <si>
    <t xml:space="preserve">Passaporte ou documento do país de origem; CRNM/DPRNM se já tiver</t>
  </si>
  <si>
    <t xml:space="preserve">Pedido</t>
  </si>
  <si>
    <t xml:space="preserve">D002</t>
  </si>
  <si>
    <t xml:space="preserve">Certidão de nascimento ou de casamento (ou equivalente estrangeiro)</t>
  </si>
  <si>
    <t xml:space="preserve">Só se o documento de identificação não mostrar naturalidade, filiação e data de nascimento</t>
  </si>
  <si>
    <t xml:space="preserve">Cartório do país de origem ou consulado</t>
  </si>
  <si>
    <t xml:space="preserve">D003</t>
  </si>
  <si>
    <t xml:space="preserve">Foto segurando o documento ao lado do rosto</t>
  </si>
  <si>
    <t xml:space="preserve">Só no atendimento por e-mail</t>
  </si>
  <si>
    <t xml:space="preserve">Frente e verso se não der para mostrar o documento inteiro</t>
  </si>
  <si>
    <t xml:space="preserve">Foto com o celular</t>
  </si>
  <si>
    <t xml:space="preserve">Pedido por e-mail</t>
  </si>
  <si>
    <t xml:space="preserve">D004</t>
  </si>
  <si>
    <t xml:space="preserve">Outros documentos solicitados pelo atendente</t>
  </si>
  <si>
    <t xml:space="preserve">Caso a caso</t>
  </si>
  <si>
    <t xml:space="preserve">Atendimento</t>
  </si>
  <si>
    <t xml:space="preserve">D005</t>
  </si>
  <si>
    <t xml:space="preserve">Requerimento eletrônico preenchido no site da PF, impresso e assinado</t>
  </si>
  <si>
    <t xml:space="preserve">Site da PF</t>
  </si>
  <si>
    <t xml:space="preserve">Atendimento na PF</t>
  </si>
  <si>
    <t xml:space="preserve">S10</t>
  </si>
  <si>
    <t xml:space="preserve">D006</t>
  </si>
  <si>
    <t xml:space="preserve">Cédula de identidade ou passaporte, ainda que vencido</t>
  </si>
  <si>
    <t xml:space="preserve">Indígena sem cédula, passaporte ou certidão: documento de identificação do país de origem + autodeclaração de filiação (S10)</t>
  </si>
  <si>
    <t xml:space="preserve">Documento que a pessoa já tem</t>
  </si>
  <si>
    <t xml:space="preserve">D007</t>
  </si>
  <si>
    <t xml:space="preserve">Certidão de nascimento, de casamento ou certidão consular</t>
  </si>
  <si>
    <t xml:space="preserve">Só se o documento de identidade ou de viagem não trouxer a filiação</t>
  </si>
  <si>
    <t xml:space="preserve">Em situação de vulnerabilidade, a PF pode dispensar e a filiação é autodeclarada (S10)</t>
  </si>
  <si>
    <t xml:space="preserve">D008</t>
  </si>
  <si>
    <t xml:space="preserve">Declaração de ausência de antecedentes criminais no Brasil e no exterior (últimos 5 anos)</t>
  </si>
  <si>
    <t xml:space="preserve">Dispensada para menores de 18 anos</t>
  </si>
  <si>
    <t xml:space="preserve">Modelo de declaração da PF</t>
  </si>
  <si>
    <t xml:space="preserve">D009</t>
  </si>
  <si>
    <t xml:space="preserve">Comprovantes de pagamento das taxas</t>
  </si>
  <si>
    <t xml:space="preserve">Quando aplicáveis</t>
  </si>
  <si>
    <t xml:space="preserve">Declaração de hipossuficiência econômica (S08)</t>
  </si>
  <si>
    <t xml:space="preserve">GRU emitida pelo link da PF</t>
  </si>
  <si>
    <t xml:space="preserve">S10, S08</t>
  </si>
  <si>
    <t xml:space="preserve">D010</t>
  </si>
  <si>
    <t xml:space="preserve">Foto 3x4 recente, colorida, fundo branco</t>
  </si>
  <si>
    <t xml:space="preserve">Só se o sistema biométrico estiver indisponível</t>
  </si>
  <si>
    <t xml:space="preserve">Estúdio de foto</t>
  </si>
  <si>
    <t xml:space="preserve">D011</t>
  </si>
  <si>
    <t xml:space="preserve">Declaração de meios de contato</t>
  </si>
  <si>
    <t xml:space="preserve">S15</t>
  </si>
  <si>
    <t xml:space="preserve">Citada pela OIM, não pela página da PF</t>
  </si>
  <si>
    <t xml:space="preserve">D012</t>
  </si>
  <si>
    <t xml:space="preserve">CRNM</t>
  </si>
  <si>
    <t xml:space="preserve">Só para mudar para prazo indeterminado (código 299)</t>
  </si>
  <si>
    <t xml:space="preserve">Recebida no primeiro pedido</t>
  </si>
  <si>
    <t xml:space="preserve">Mudança de prazo</t>
  </si>
  <si>
    <t xml:space="preserve">D013</t>
  </si>
  <si>
    <t xml:space="preserve">Certidões de antecedentes criminais da autoridade judicial do local de residência temporária</t>
  </si>
  <si>
    <t xml:space="preserve">Só para prazo indeterminado (código 299)</t>
  </si>
  <si>
    <t xml:space="preserve">Justiça Estadual e Federal (S15)</t>
  </si>
  <si>
    <t xml:space="preserve">S10, S15</t>
  </si>
  <si>
    <t xml:space="preserve">D014</t>
  </si>
  <si>
    <t xml:space="preserve">Declaração de ausência de registros criminais no Brasil</t>
  </si>
  <si>
    <t xml:space="preserve">Só para prazo indeterminado; dispensada para menores de 18</t>
  </si>
  <si>
    <t xml:space="preserve">D015</t>
  </si>
  <si>
    <t xml:space="preserve">Comprovação de meios de subsistência</t>
  </si>
  <si>
    <t xml:space="preserve">Só para prazo indeterminado</t>
  </si>
  <si>
    <t xml:space="preserve">Ver dúvidas frequentes da PF</t>
  </si>
  <si>
    <t xml:space="preserve">D016</t>
  </si>
  <si>
    <t xml:space="preserve">Passaporte, carteira de identidade ou certidão de nacionalidade</t>
  </si>
  <si>
    <t xml:space="preserve">Documento do país de origem ou consulado</t>
  </si>
  <si>
    <t xml:space="preserve">S13 (art. 4a)</t>
  </si>
  <si>
    <t xml:space="preserve">D017</t>
  </si>
  <si>
    <t xml:space="preserve">Certidão de nascimento e comprovação de estado civil; certificado de naturalização quando aplicável</t>
  </si>
  <si>
    <t xml:space="preserve">Naturalização: só se a pessoa for naturalizada</t>
  </si>
  <si>
    <t xml:space="preserve">A confirmar: acordos Mercosul podem dispensar legalização/tradução (S08)</t>
  </si>
  <si>
    <t xml:space="preserve">S13 (art. 4b)</t>
  </si>
  <si>
    <t xml:space="preserve">D018</t>
  </si>
  <si>
    <t xml:space="preserve">Certidão negativa de antecedentes judiciais, penais ou policiais do país de origem ou de onde morou nos últimos 5 anos</t>
  </si>
  <si>
    <t xml:space="preserve">A PF pode aceitar certidão com mais de 90 dias (S16)</t>
  </si>
  <si>
    <t xml:space="preserve">Órgão policial ou judicial do país</t>
  </si>
  <si>
    <t xml:space="preserve">S13 (art. 4c)</t>
  </si>
  <si>
    <t xml:space="preserve">D019</t>
  </si>
  <si>
    <t xml:space="preserve">Declaração, sob as penas da lei, de ausência de antecedentes penais ou policiais internacionais</t>
  </si>
  <si>
    <t xml:space="preserve">S13 (art. 4d)</t>
  </si>
  <si>
    <t xml:space="preserve">D020</t>
  </si>
  <si>
    <t xml:space="preserve">Certidão de antecedentes no Brasil</t>
  </si>
  <si>
    <t xml:space="preserve">Para quem já está no Brasil (art. 3º, §2)</t>
  </si>
  <si>
    <t xml:space="preserve">Justiça Estadual e Federal</t>
  </si>
  <si>
    <t xml:space="preserve">S13 (art. 4e)</t>
  </si>
  <si>
    <t xml:space="preserve">D021</t>
  </si>
  <si>
    <t xml:space="preserve">Atestado médico de aptidão psicofísica</t>
  </si>
  <si>
    <t xml:space="preserve">Só se exigido pela legislação interna</t>
  </si>
  <si>
    <t xml:space="preserve">S13 (art. 4f)</t>
  </si>
  <si>
    <t xml:space="preserve">Não aparece na lista operacional S16</t>
  </si>
  <si>
    <t xml:space="preserve">D022</t>
  </si>
  <si>
    <t xml:space="preserve">Comprovante de pagamento das taxas</t>
  </si>
  <si>
    <t xml:space="preserve">GRU</t>
  </si>
  <si>
    <t xml:space="preserve">S13 (art. 4g), S16</t>
  </si>
  <si>
    <t xml:space="preserve">D023</t>
  </si>
  <si>
    <t xml:space="preserve">Formulário de solicitação preenchido</t>
  </si>
  <si>
    <t xml:space="preserve">S16</t>
  </si>
  <si>
    <t xml:space="preserve">Página da PF restrita</t>
  </si>
  <si>
    <t xml:space="preserve">D024</t>
  </si>
  <si>
    <t xml:space="preserve">Duas fotos 3x4</t>
  </si>
  <si>
    <t xml:space="preserve">Na modalidade Venezuela a foto só é pedida se a biometria falhar</t>
  </si>
  <si>
    <t xml:space="preserve">D025</t>
  </si>
  <si>
    <t xml:space="preserve">Declaração de endereço eletrônico e meios de contato</t>
  </si>
  <si>
    <t xml:space="preserve">D026</t>
  </si>
  <si>
    <t xml:space="preserve">S04</t>
  </si>
  <si>
    <t xml:space="preserve">D027</t>
  </si>
  <si>
    <t xml:space="preserve">Documento de viagem ou documento oficial de identidade</t>
  </si>
  <si>
    <t xml:space="preserve">D028</t>
  </si>
  <si>
    <t xml:space="preserve">O MJSP pede; em outras modalidades a PF só pede foto se a biometria falhar</t>
  </si>
  <si>
    <t xml:space="preserve">D029</t>
  </si>
  <si>
    <t xml:space="preserve">Certidão de nascimento, de casamento ou consular</t>
  </si>
  <si>
    <t xml:space="preserve">Só se o documento de identidade não trouxer a filiação</t>
  </si>
  <si>
    <t xml:space="preserve">Documento estrangeiro: tradução juramentada e apostila ou legalização, salvo acordo (S08)</t>
  </si>
  <si>
    <t xml:space="preserve">S04, S08</t>
  </si>
  <si>
    <t xml:space="preserve">D030</t>
  </si>
  <si>
    <t xml:space="preserve">Certidões de antecedentes criminais de onde morou nos últimos 5 anos</t>
  </si>
  <si>
    <t xml:space="preserve">Autoridade judicial ou policial de cada país</t>
  </si>
  <si>
    <t xml:space="preserve">D031</t>
  </si>
  <si>
    <t xml:space="preserve">Declaração de ausência de antecedentes criminais em qualquer país nos últimos 5 anos</t>
  </si>
  <si>
    <t xml:space="preserve">D032</t>
  </si>
  <si>
    <t xml:space="preserve">Certidão de nascimento ou casamento que prove o parentesco, ou outro documento que comprove o vínculo</t>
  </si>
  <si>
    <t xml:space="preserve">Depende do vínculo (Lei 13.445, art. 37)</t>
  </si>
  <si>
    <t xml:space="preserve">Outro documento hábil que comprove o vínculo</t>
  </si>
  <si>
    <t xml:space="preserve">Cartório brasileiro ou do país de origem</t>
  </si>
  <si>
    <t xml:space="preserve">S04, S14, S08</t>
  </si>
  <si>
    <t xml:space="preserve">D033</t>
  </si>
  <si>
    <t xml:space="preserve">Documento de identidade do familiar chamante (brasileiro ou imigrante com autorização de residência)</t>
  </si>
  <si>
    <t xml:space="preserve">Cópia do documento do familiar</t>
  </si>
  <si>
    <t xml:space="preserve">D034</t>
  </si>
  <si>
    <t xml:space="preserve">Declaração de que o familiar chamante mora no Brasil</t>
  </si>
  <si>
    <t xml:space="preserve">Declaração sob as penas da lei</t>
  </si>
  <si>
    <t xml:space="preserve">D035</t>
  </si>
  <si>
    <t xml:space="preserve">Comprovante de dependência econômica</t>
  </si>
  <si>
    <t xml:space="preserve">Só para irmão maior de 18 anos</t>
  </si>
  <si>
    <t xml:space="preserve">D036</t>
  </si>
  <si>
    <t xml:space="preserve">GRU gerada no site da PF</t>
  </si>
  <si>
    <t xml:space="preserve">D037</t>
  </si>
  <si>
    <t xml:space="preserve">Comprovante de pagamento da taxa de emissão da CRNM (STN 140120)</t>
  </si>
  <si>
    <t xml:space="preserve">GRU gerada no site da PF; pagamento pelo PagTesouro (S03)</t>
  </si>
  <si>
    <t xml:space="preserve">S02, S03, S08</t>
  </si>
  <si>
    <t xml:space="preserve">D038</t>
  </si>
  <si>
    <t xml:space="preserve">Documento de identificação</t>
  </si>
  <si>
    <t xml:space="preserve">RG, CIN, CNH, passaporte, RNM ou DPRNM (lista da PF para coleta biométrica)</t>
  </si>
  <si>
    <t xml:space="preserve">D039</t>
  </si>
  <si>
    <t xml:space="preserve">Demais documentos da lista da PF</t>
  </si>
  <si>
    <t xml:space="preserve">S02</t>
  </si>
  <si>
    <t xml:space="preserve">Lista em página que exige login</t>
  </si>
  <si>
    <t xml:space="preserve">D040</t>
  </si>
  <si>
    <t xml:space="preserve">E-mail válido</t>
  </si>
  <si>
    <t xml:space="preserve">Criar e-mail gratuito</t>
  </si>
  <si>
    <t xml:space="preserve">Cadastro no Sisconare</t>
  </si>
  <si>
    <t xml:space="preserve">S06</t>
  </si>
  <si>
    <t xml:space="preserve">D041</t>
  </si>
  <si>
    <t xml:space="preserve">Número de controle da solicitação no Sisconare</t>
  </si>
  <si>
    <t xml:space="preserve">Gerado ao finalizar a solicitação</t>
  </si>
  <si>
    <t xml:space="preserve">D042</t>
  </si>
  <si>
    <t xml:space="preserve">Código de solicitação / comprovante de agendamento na PF</t>
  </si>
  <si>
    <t xml:space="preserve">Agendamento no site da PF</t>
  </si>
  <si>
    <t xml:space="preserve">S05</t>
  </si>
  <si>
    <t xml:space="preserve">D043</t>
  </si>
  <si>
    <t xml:space="preserve">Documentos pessoais que possuir</t>
  </si>
  <si>
    <t xml:space="preserve">Só os que a pessoa tiver</t>
  </si>
  <si>
    <t xml:space="preserve">A página não lista documentos obrigatórios</t>
  </si>
  <si>
    <t xml:space="preserve">D044</t>
  </si>
  <si>
    <t xml:space="preserve">Formulário eletrônico preenchido no site da PF</t>
  </si>
  <si>
    <t xml:space="preserve">D045</t>
  </si>
  <si>
    <t xml:space="preserve">Protocolo de refúgio válido</t>
  </si>
  <si>
    <t xml:space="preserve">Recebido no pedido de refúgio</t>
  </si>
  <si>
    <t xml:space="preserve">D046</t>
  </si>
  <si>
    <t xml:space="preserve">Passaporte ou outro documento de identidade válido</t>
  </si>
  <si>
    <t xml:space="preserve">Se disponível</t>
  </si>
  <si>
    <t xml:space="preserve">D047</t>
  </si>
  <si>
    <t xml:space="preserve">D048</t>
  </si>
  <si>
    <t xml:space="preserve">Formulário eletrônico de alteração de endereço</t>
  </si>
  <si>
    <t xml:space="preserve">Pedido online</t>
  </si>
  <si>
    <t xml:space="preserve">D049</t>
  </si>
  <si>
    <t xml:space="preserve">Comprovante de endereço com endereço completo e CEP</t>
  </si>
  <si>
    <t xml:space="preserve">Exemplos citados pela PF: contas de água ou luz. Outros: a confirmar</t>
  </si>
  <si>
    <t xml:space="preserve">D050</t>
  </si>
  <si>
    <t xml:space="preserve">Conta de água ou luz</t>
  </si>
  <si>
    <t xml:space="preserve">Aceita pela PF na alteração de endereço; nos demais órgãos, a confirmar</t>
  </si>
  <si>
    <t xml:space="preserve">Concessionária</t>
  </si>
  <si>
    <t xml:space="preserve">D051</t>
  </si>
  <si>
    <t xml:space="preserve">Contrato de aluguel</t>
  </si>
  <si>
    <t xml:space="preserve">Verificar caso a caso</t>
  </si>
  <si>
    <t xml:space="preserve">D052</t>
  </si>
  <si>
    <t xml:space="preserve">Declaração de residência de quem divide a moradia</t>
  </si>
  <si>
    <t xml:space="preserve">D053</t>
  </si>
  <si>
    <t xml:space="preserve">Declaração de abrigo ou instituição de acolhimento</t>
  </si>
  <si>
    <t xml:space="preserve">Instituição</t>
  </si>
  <si>
    <t xml:space="preserve">D054</t>
  </si>
  <si>
    <t xml:space="preserve">CEP do endereço</t>
  </si>
  <si>
    <t xml:space="preserve">Necessário para o endereço completo</t>
  </si>
  <si>
    <t xml:space="preserve">Consulta nos Correios</t>
  </si>
  <si>
    <t xml:space="preserve">S22, S08</t>
  </si>
  <si>
    <t xml:space="preserve">CEP não é comprovante de residência</t>
  </si>
  <si>
    <t xml:space="preserve">Nº</t>
  </si>
  <si>
    <t xml:space="preserve">Etapa</t>
  </si>
  <si>
    <t xml:space="preserve">Canal / link oficial</t>
  </si>
  <si>
    <t xml:space="preserve">Tempo estimado</t>
  </si>
  <si>
    <t xml:space="preserve">Escolher o canal: online, e-mail, unidade da Receita ou conveniado</t>
  </si>
  <si>
    <t xml:space="preserve">https://www.gov.br/pt-br/servicos/inscrever-no-cpf</t>
  </si>
  <si>
    <t xml:space="preserve">Gratuito / R$ 7,00 conveniado</t>
  </si>
  <si>
    <t xml:space="preserve">Apresentar ou enviar os documentos</t>
  </si>
  <si>
    <t xml:space="preserve">Média de 2 dias úteis</t>
  </si>
  <si>
    <t xml:space="preserve">Receber o número e consultar a situação cadastral</t>
  </si>
  <si>
    <t xml:space="preserve">Preencher o formulário da modalidade no site da PF e gerar a GRU (ou declarar hipossuficiência)</t>
  </si>
  <si>
    <t xml:space="preserve">https://www.gov.br/pt-br/servicos/obter-autorizacao-de-residencia-e-carteira-de-registro-migratorio</t>
  </si>
  <si>
    <t xml:space="preserve">20 min</t>
  </si>
  <si>
    <t xml:space="preserve">R$ 168,13 + R$ 204,77</t>
  </si>
  <si>
    <t xml:space="preserve">S03, S10</t>
  </si>
  <si>
    <t xml:space="preserve">Agendar atendimento na PF</t>
  </si>
  <si>
    <t xml:space="preserve">https://servicos.pf.gov.br/agenda-web/acessar</t>
  </si>
  <si>
    <t xml:space="preserve">S03, S20</t>
  </si>
  <si>
    <t xml:space="preserve">Comparecer à PF com os originais: coleta de biometria e conferência</t>
  </si>
  <si>
    <t xml:space="preserve">30 min + espera até 30 min</t>
  </si>
  <si>
    <t xml:space="preserve">S03, S15</t>
  </si>
  <si>
    <t xml:space="preserve">Receber protocolo e número do RNM; acompanhar a CRNM online</t>
  </si>
  <si>
    <t xml:space="preserve">https://servicos.pf.gov.br/sismigra-internet/faces/restrito/atendimento/pesquisarRequerimento.seam</t>
  </si>
  <si>
    <t xml:space="preserve">Média 30 dias úteis</t>
  </si>
  <si>
    <t xml:space="preserve">S03, S21</t>
  </si>
  <si>
    <t xml:space="preserve">Ao chegar à cidade de destino, atualizar o endereço no site da PF</t>
  </si>
  <si>
    <t xml:space="preserve">S15, S08</t>
  </si>
  <si>
    <t xml:space="preserve">Preencher o formulário no site da PF e gerar a GRU (ou declarar hipossuficiência)</t>
  </si>
  <si>
    <t xml:space="preserve">S03</t>
  </si>
  <si>
    <t xml:space="preserve">Comparecer à PF da circunscrição do domicílio</t>
  </si>
  <si>
    <t xml:space="preserve">Retirar a CRNM quando o sistema avisar</t>
  </si>
  <si>
    <t xml:space="preserve">Antes de vencer (90 dias antes), pedir residência permanente</t>
  </si>
  <si>
    <t xml:space="preserve">S13</t>
  </si>
  <si>
    <t xml:space="preserve">Preencher o formulário no site da PF e gerar a GRU</t>
  </si>
  <si>
    <t xml:space="preserve">R$ 168,13 + R$ 204,77 quando aplicáveis</t>
  </si>
  <si>
    <t xml:space="preserve">S03, S04</t>
  </si>
  <si>
    <t xml:space="preserve">Preencher o formulário online e incluir a GRU</t>
  </si>
  <si>
    <t xml:space="preserve">https://www.gov.br/pt-br/servicos/registrar-se-como-estrangeiro-no-brasil</t>
  </si>
  <si>
    <t xml:space="preserve">R$ 204,77</t>
  </si>
  <si>
    <t xml:space="preserve">Agendar atendimento</t>
  </si>
  <si>
    <t xml:space="preserve">Comparecer à PF da circunscrição</t>
  </si>
  <si>
    <t xml:space="preserve">Retirar a CRNM</t>
  </si>
  <si>
    <t xml:space="preserve">Criar usuário no Sisconare com e-mail válido</t>
  </si>
  <si>
    <t xml:space="preserve">https://www.gov.br/mj/pt-br/assuntos/seus-direitos/refugio/servicos/pedir-refugio</t>
  </si>
  <si>
    <t xml:space="preserve">Preencher e finalizar a Solicitação de Refúgio; anotar o número de controle</t>
  </si>
  <si>
    <t xml:space="preserve">Agendar na PF o serviço de refúgio pela primeira vez, com os mesmos dados do Sisconare</t>
  </si>
  <si>
    <t xml:space="preserve">Comparecer à PF 15 min antes, com o número de controle e os documentos que tiver</t>
  </si>
  <si>
    <t xml:space="preserve">Espera até 2 h</t>
  </si>
  <si>
    <t xml:space="preserve">Receber o Protocolo de Refúgio (válido por 1 ano)</t>
  </si>
  <si>
    <t xml:space="preserve">Consultar o Sisconare ao menos a cada 30 dias e renovar o protocolo na PF até a decisão</t>
  </si>
  <si>
    <t xml:space="preserve">12 a 24 meses no total</t>
  </si>
  <si>
    <t xml:space="preserve">Comparecer à PF no horário agendado</t>
  </si>
  <si>
    <t xml:space="preserve">30 min</t>
  </si>
  <si>
    <t xml:space="preserve">Retirar o DPRNM quando estiver pronto</t>
  </si>
  <si>
    <t xml:space="preserve">Até 20 dias corridos</t>
  </si>
  <si>
    <t xml:space="preserve">Preencher o formulário eletrônico no site da PF</t>
  </si>
  <si>
    <t xml:space="preserve">Anexar o comprovante de endereço (com CEP)</t>
  </si>
  <si>
    <t xml:space="preserve">Código STN</t>
  </si>
  <si>
    <t xml:space="preserve">Taxa</t>
  </si>
  <si>
    <t xml:space="preserve">Valor (R$)</t>
  </si>
  <si>
    <t xml:space="preserve">Quando se aplica</t>
  </si>
  <si>
    <t xml:space="preserve">Isenção</t>
  </si>
  <si>
    <t xml:space="preserve">140066</t>
  </si>
  <si>
    <t xml:space="preserve">Processamento e avaliação de pedido de autorização de residência</t>
  </si>
  <si>
    <t xml:space="preserve">Pedidos de autorização de residência, quando aplicável</t>
  </si>
  <si>
    <t xml:space="preserve">Declaração de hipossuficiência (Decreto 9.199, art. 312; Lei 13.445, art. 4º, XII)</t>
  </si>
  <si>
    <t xml:space="preserve">S03, S08, S14</t>
  </si>
  <si>
    <t xml:space="preserve">140120</t>
  </si>
  <si>
    <t xml:space="preserve">Emissão da Carteira de Registro Nacional Migratório (CRNM)</t>
  </si>
  <si>
    <t xml:space="preserve">Registro e emissão da CRNM</t>
  </si>
  <si>
    <t xml:space="preserve">Declaração de hipossuficiência (idem)</t>
  </si>
  <si>
    <t xml:space="preserve">S02, S03, S08, S14</t>
  </si>
  <si>
    <t xml:space="preserve">Inscrição no CPF em unidade conveniada</t>
  </si>
  <si>
    <t xml:space="preserve">Só em Correios, Banco do Brasil, Caixa ou cartórios</t>
  </si>
  <si>
    <t xml:space="preserve">Gratuito na Receita Federal</t>
  </si>
  <si>
    <t xml:space="preserve">Solicitação de refúgio</t>
  </si>
  <si>
    <t xml:space="preserve">Sempre</t>
  </si>
  <si>
    <t xml:space="preserve">DPRNM</t>
  </si>
  <si>
    <t xml:space="preserve">Alteração de endereço no registro</t>
  </si>
  <si>
    <t xml:space="preserve">Total de uma autorização de residência com CRNM (sem isenção)</t>
  </si>
  <si>
    <t xml:space="preserve">Valores lidos nas páginas oficiais em 28/10/2026.</t>
  </si>
  <si>
    <t xml:space="preserve">id</t>
  </si>
  <si>
    <t xml:space="preserve">Natureza</t>
  </si>
  <si>
    <t xml:space="preserve">Função</t>
  </si>
  <si>
    <t xml:space="preserve">Endereço</t>
  </si>
  <si>
    <t xml:space="preserve">Horário</t>
  </si>
  <si>
    <t xml:space="preserve">Telefone</t>
  </si>
  <si>
    <t xml:space="preserve">E-mail</t>
  </si>
  <si>
    <t xml:space="preserve">Serviços</t>
  </si>
  <si>
    <t xml:space="preserve">Agendamento</t>
  </si>
  <si>
    <t xml:space="preserve">L01</t>
  </si>
  <si>
    <t xml:space="preserve">Polícia Federal – Delegacia de Migração (DELEMIG), Superintendência em SP</t>
  </si>
  <si>
    <t xml:space="preserve">Público federal</t>
  </si>
  <si>
    <t xml:space="preserve">Processa pedidos</t>
  </si>
  <si>
    <t xml:space="preserve">Rua Hugo D'Antola, 95 – Lapa de Baixo – CEP 05038-090</t>
  </si>
  <si>
    <t xml:space="preserve">Seg. a sex., 8h30–17h30; entrega de CRNM/DPRNM 9h–17h</t>
  </si>
  <si>
    <t xml:space="preserve">(11) 3538-5234</t>
  </si>
  <si>
    <t xml:space="preserve">delemig.drex.srsp@pf.gov.br</t>
  </si>
  <si>
    <t xml:space="preserve">Registro, autorização de residência, CRNM, refúgio (protocolo)</t>
  </si>
  <si>
    <t xml:space="preserve">Sim (agenda-web da PF)</t>
  </si>
  <si>
    <t xml:space="preserve">S17</t>
  </si>
  <si>
    <t xml:space="preserve">Urgências: migracao.srsp@pf.gov.br. Passagem comprada não conta como urgência.</t>
  </si>
  <si>
    <t xml:space="preserve">L02</t>
  </si>
  <si>
    <t xml:space="preserve">CRAI – Centro de Referência e Atendimento para Imigrantes (Oriana Jara)</t>
  </si>
  <si>
    <t xml:space="preserve">Público municipal (Prefeitura de SP)</t>
  </si>
  <si>
    <t xml:space="preserve">Orienta e encaminha</t>
  </si>
  <si>
    <t xml:space="preserve">Rua Major Diogo, 834 – Bela Vista – CEP 01324-001</t>
  </si>
  <si>
    <t xml:space="preserve">Seg. a sex., 8h–18h (atendimento até 17h)</t>
  </si>
  <si>
    <t xml:space="preserve">(11) 2361-5069</t>
  </si>
  <si>
    <t xml:space="preserve">atendimento.crai@sefras.org.br (regularização e agendamentos)</t>
  </si>
  <si>
    <t xml:space="preserve">Orientação sobre regularização e documentação, serviço social, orientação jurídica, psicologia, CRAI Móvel</t>
  </si>
  <si>
    <t xml:space="preserve">Regularização: agendar por e-mail</t>
  </si>
  <si>
    <t xml:space="preserve">S18</t>
  </si>
  <si>
    <t xml:space="preserve">Orientação jurídica da DPU às quartas, de manhã, com agendamento. A página também mostra gestao.crai@sefras.org.br no link do e-mail.</t>
  </si>
  <si>
    <t xml:space="preserve">L03</t>
  </si>
  <si>
    <t xml:space="preserve">CIC do Imigrante – Centro de Integração e Cidadania</t>
  </si>
  <si>
    <t xml:space="preserve">Público estadual (Secretaria da Justiça e Cidadania)</t>
  </si>
  <si>
    <t xml:space="preserve">Rua Guaianazes, 1112 – Campos Elíseos</t>
  </si>
  <si>
    <t xml:space="preserve">(11) 3115-2048</t>
  </si>
  <si>
    <t xml:space="preserve">cicimigrante@justica.sp.gov.br</t>
  </si>
  <si>
    <t xml:space="preserve">Assessoria jurídica, atendimento psicológico e social, capacitação, aulas de idiomas, encaminhamento ao trabalho</t>
  </si>
  <si>
    <t xml:space="preserve">S19</t>
  </si>
  <si>
    <t xml:space="preserve">Parcial</t>
  </si>
  <si>
    <t xml:space="preserve">Endereço novo desde 21/07/2025.</t>
  </si>
  <si>
    <t xml:space="preserve">L04</t>
  </si>
  <si>
    <t xml:space="preserve">Defensoria Pública da União (DPU) em São Paulo</t>
  </si>
  <si>
    <t xml:space="preserve">Orientação jurídica gratuita (assuntos federais: PF, MJSP, refúgio)</t>
  </si>
  <si>
    <t xml:space="preserve">Sede: a confirmar</t>
  </si>
  <si>
    <t xml:space="preserve">No CRAI: quartas de manhã</t>
  </si>
  <si>
    <t xml:space="preserve">Regularização migratória, refúgio, recursos contra decisões federais</t>
  </si>
  <si>
    <t xml:space="preserve">Sim (via CRAI)</t>
  </si>
  <si>
    <t xml:space="preserve">Canal confirmado: plantão no CRAI. Sede própria a confirmar.</t>
  </si>
  <si>
    <t xml:space="preserve">L05</t>
  </si>
  <si>
    <t xml:space="preserve">Defensoria Pública do Estado de São Paulo</t>
  </si>
  <si>
    <t xml:space="preserve">Público estadual</t>
  </si>
  <si>
    <t xml:space="preserve">Orientação jurídica gratuita (assuntos estaduais: família, moradia, consumo)</t>
  </si>
  <si>
    <t xml:space="preserve">Rua Boa Vista, 150 – Centro (a confirmar)</t>
  </si>
  <si>
    <t xml:space="preserve">Questões não federais</t>
  </si>
  <si>
    <t xml:space="preserve">Endereço vindo da pesquisa inicial, ainda não conferido em fonte oficial.</t>
  </si>
  <si>
    <t xml:space="preserve">L06</t>
  </si>
  <si>
    <t xml:space="preserve">Missão Paz</t>
  </si>
  <si>
    <t xml:space="preserve">Organização da sociedade civil</t>
  </si>
  <si>
    <t xml:space="preserve">Acolhe e orienta</t>
  </si>
  <si>
    <t xml:space="preserve">Acolhida, orientação, aulas de português (a confirmar)</t>
  </si>
  <si>
    <t xml:space="preserve">L07</t>
  </si>
  <si>
    <t xml:space="preserve">Cáritas Arquidiocesana de São Paulo</t>
  </si>
  <si>
    <t xml:space="preserve">Orienta refugiados e solicitantes</t>
  </si>
  <si>
    <t xml:space="preserve">Apoio a refugiados (a confirmar)</t>
  </si>
  <si>
    <t xml:space="preserve">L08</t>
  </si>
  <si>
    <t xml:space="preserve">CAMI – Centro de Apoio e Pastoral do Migrante</t>
  </si>
  <si>
    <t xml:space="preserve">Orienta</t>
  </si>
  <si>
    <t xml:space="preserve">Alameda Nothmann, 485 – Campos Elíseos (a confirmar)</t>
  </si>
  <si>
    <t xml:space="preserve">Endereço vindo da pesquisa inicial.</t>
  </si>
  <si>
    <t xml:space="preserve">L09</t>
  </si>
  <si>
    <t xml:space="preserve">CDHIC – Centro de Direitos Humanos e Cidadania do Imigrante</t>
  </si>
  <si>
    <t xml:space="preserve">Rua Luís Ferreira, 142 (a confirmar)</t>
  </si>
  <si>
    <t xml:space="preserve">Tema</t>
  </si>
  <si>
    <t xml:space="preserve">Texto para o app (pt)</t>
  </si>
  <si>
    <t xml:space="preserve">E01</t>
  </si>
  <si>
    <t xml:space="preserve">O que é o CPF</t>
  </si>
  <si>
    <t xml:space="preserve">É o número do Cadastro de Pessoas Físicas, da Receita Federal. Brasileiros e estrangeiros podem pedir, morando ou não no Brasil.</t>
  </si>
  <si>
    <t xml:space="preserve">E02</t>
  </si>
  <si>
    <t xml:space="preserve">Quanto custa o CPF</t>
  </si>
  <si>
    <t xml:space="preserve">É gratuito na Receita Federal, pela internet, por e-mail ou presencialmente. Nos Correios, Banco do Brasil, Caixa e cartórios custa R$ 7,00.</t>
  </si>
  <si>
    <t xml:space="preserve">E03</t>
  </si>
  <si>
    <t xml:space="preserve">O que o CPF não faz</t>
  </si>
  <si>
    <t xml:space="preserve">O CPF é um cadastro da Receita Federal. Ele não substitui a autorização de residência nem o registro na Polícia Federal.</t>
  </si>
  <si>
    <t xml:space="preserve">S01, S03</t>
  </si>
  <si>
    <t xml:space="preserve">Inferência a partir da natureza do cadastro; o revisor jurídico deve validar a redação</t>
  </si>
  <si>
    <t xml:space="preserve">E04</t>
  </si>
  <si>
    <t xml:space="preserve">Onde o CPF é pedido: Carteira de Trabalho Digital</t>
  </si>
  <si>
    <t xml:space="preserve">Para ter a Carteira de Trabalho Digital, você precisa do número do CPF e de uma conta gov.br.</t>
  </si>
  <si>
    <t xml:space="preserve">S23</t>
  </si>
  <si>
    <t xml:space="preserve">E05</t>
  </si>
  <si>
    <t xml:space="preserve">Onde o CPF é pedido: conta em banco</t>
  </si>
  <si>
    <t xml:space="preserve">Não encontramos fonte oficial clara para estrangeiros. O app não mostra este item até confirmar.</t>
  </si>
  <si>
    <t xml:space="preserve">E06</t>
  </si>
  <si>
    <t xml:space="preserve">Onde o CPF é pedido: linha de celular</t>
  </si>
  <si>
    <t xml:space="preserve">Regra da Anatel para estrangeiros a confirmar. O app não mostra este item até confirmar.</t>
  </si>
  <si>
    <t xml:space="preserve">source_id</t>
  </si>
  <si>
    <t xml:space="preserve">Órgão / autor</t>
  </si>
  <si>
    <t xml:space="preserve">Título</t>
  </si>
  <si>
    <t xml:space="preserve">URL</t>
  </si>
  <si>
    <t xml:space="preserve">Tipo</t>
  </si>
  <si>
    <t xml:space="preserve">Atualização da página</t>
  </si>
  <si>
    <t xml:space="preserve">Acesso na verificação</t>
  </si>
  <si>
    <t xml:space="preserve">Receita Federal (gov.br)</t>
  </si>
  <si>
    <t xml:space="preserve">Inscrever no CPF</t>
  </si>
  <si>
    <t xml:space="preserve">Oficial – página de serviço</t>
  </si>
  <si>
    <t xml:space="preserve">08/10/2026</t>
  </si>
  <si>
    <t xml:space="preserve">Acessível</t>
  </si>
  <si>
    <t xml:space="preserve">Polícia Federal (gov.br)</t>
  </si>
  <si>
    <t xml:space="preserve">Registrar-se como estrangeiro no Brasil</t>
  </si>
  <si>
    <t xml:space="preserve">01/09/2026</t>
  </si>
  <si>
    <t xml:space="preserve">Obter autorização de residência e CRNM</t>
  </si>
  <si>
    <t xml:space="preserve">23/07/2026</t>
  </si>
  <si>
    <t xml:space="preserve">MJSP</t>
  </si>
  <si>
    <t xml:space="preserve">Autorização de residência (modalidades e órgão de protocolo)</t>
  </si>
  <si>
    <t xml:space="preserve">https://www.gov.br/mj/pt-br/assuntos/seus-direitos/migracoes/autorizacao-de-residencia</t>
  </si>
  <si>
    <t xml:space="preserve">Oficial – página institucional</t>
  </si>
  <si>
    <t xml:space="preserve">Pedir refúgio (passo a passo Sisconare)</t>
  </si>
  <si>
    <t xml:space="preserve">Sem data na página</t>
  </si>
  <si>
    <t xml:space="preserve">MJSP / Conare (gov.br)</t>
  </si>
  <si>
    <t xml:space="preserve">Solicitar refúgio pela primeira vez</t>
  </si>
  <si>
    <t xml:space="preserve">https://www.gov.br/pt-br/servicos/solicitar-refugio</t>
  </si>
  <si>
    <t xml:space="preserve">06/08/2026</t>
  </si>
  <si>
    <t xml:space="preserve">Obter Documento Provisório de RNM (DPRNM)</t>
  </si>
  <si>
    <t xml:space="preserve">https://www.gov.br/pt-br/servicos/obter-documento-provisorio-de-registro-nacional-migratorio</t>
  </si>
  <si>
    <t xml:space="preserve">24/07/2026</t>
  </si>
  <si>
    <t xml:space="preserve">Dúvidas frequentes – migração</t>
  </si>
  <si>
    <t xml:space="preserve">https://www.gov.br/pf/pt-br/assuntos/imigracao/duvidas-frequentes</t>
  </si>
  <si>
    <t xml:space="preserve">Oficial – FAQ</t>
  </si>
  <si>
    <t xml:space="preserve">S09</t>
  </si>
  <si>
    <t xml:space="preserve">Escolha o serviço (seletor por nacionalidade e objetivo)</t>
  </si>
  <si>
    <t xml:space="preserve">https://www.gov.br/pf/pt-br/assuntos/imigracao/pt/nacionalidade/objetivo/servico</t>
  </si>
  <si>
    <t xml:space="preserve">AR para nacional de país fronteiriço sem acordo Mercosul (Venezuela, Suriname, Guiana)</t>
  </si>
  <si>
    <t xml:space="preserve">https://www.gov.br/pf/pt-br/assuntos/imigracao/autorizacao-residencia/autorizacao-de-residencia-para-nacional-de-pais-fronteirico-onde-nao-esteja-em-vigor-o-acordo-de-residencia-para-nacionais-dos-estados-partes-do-mercosul-e-paises-associados</t>
  </si>
  <si>
    <t xml:space="preserve">06/11/2024</t>
  </si>
  <si>
    <t xml:space="preserve">S11</t>
  </si>
  <si>
    <t xml:space="preserve">Acordo sobre Residência do Mercosul (AR)</t>
  </si>
  <si>
    <t xml:space="preserve">https://www.gov.br/pf/pt-br/assuntos/imigracao/autorizacao-residencia/acordo-de-residencia-para-nacionais-dos-estados-partes-do-mercosul-bolivia-e-chile</t>
  </si>
  <si>
    <t xml:space="preserve">Não lida</t>
  </si>
  <si>
    <t xml:space="preserve">Restrita (exige login) em 28/10/2026</t>
  </si>
  <si>
    <t xml:space="preserve">S12</t>
  </si>
  <si>
    <t xml:space="preserve">Autorização de Residência por Reunião Familiar</t>
  </si>
  <si>
    <t xml:space="preserve">https://www.gov.br/pf/pt-br/assuntos/imigracao/autorizacao-residencia/autorizacao-de-residencia-por-reuniao-familiar</t>
  </si>
  <si>
    <t xml:space="preserve">Câmara dos Deputados (Legislação)</t>
  </si>
  <si>
    <t xml:space="preserve">Decreto nº 6.975/2009 – Acordo sobre Residência Mercosul, Bolívia e Chile</t>
  </si>
  <si>
    <t xml:space="preserve">https://www2.camara.leg.br/legin/fed/decret/2009/decreto-6975-7-outubro-2009-591656-publicacaooriginal-116698-pe.html</t>
  </si>
  <si>
    <t xml:space="preserve">Oficial – norma</t>
  </si>
  <si>
    <t xml:space="preserve">Publicação original</t>
  </si>
  <si>
    <t xml:space="preserve">S14</t>
  </si>
  <si>
    <t xml:space="preserve">Lei nº 13.445/2017 – Lei de Migração</t>
  </si>
  <si>
    <t xml:space="preserve">https://www2.camara.leg.br/legin/fed/lei/2017/lei-13445-24-maio-2017-784925-publicacaooriginal-152812-pl.html</t>
  </si>
  <si>
    <t xml:space="preserve">OIM (Organização Internacional para as Migrações)</t>
  </si>
  <si>
    <t xml:space="preserve">Folheto: AR para Venezuela, Guiana e Suriname</t>
  </si>
  <si>
    <t xml:space="preserve">https://brazil.iom.int/sites/g/files/tmzbdl1496/files/documents/2024-04/folheto_ar-venezuela-guiana-e-suriname_brasil.pdf</t>
  </si>
  <si>
    <t xml:space="preserve">Secundária – organismo internacional</t>
  </si>
  <si>
    <t xml:space="preserve">Abr/2024 (valores de dez/2023)</t>
  </si>
  <si>
    <t xml:space="preserve">Unicamp (DAC)</t>
  </si>
  <si>
    <t xml:space="preserve">Guia: AR pelo Acordo Mercosul</t>
  </si>
  <si>
    <t xml:space="preserve">https://www.dac.unicamp.br/portal/storage/app/media/uploaded-files/autorizacao-de-residencia-acordo-mercosul.pdf</t>
  </si>
  <si>
    <t xml:space="preserve">Secundária – universidade</t>
  </si>
  <si>
    <t xml:space="preserve">Sem data</t>
  </si>
  <si>
    <t xml:space="preserve">Superintendência Regional em São Paulo – contatos</t>
  </si>
  <si>
    <t xml:space="preserve">https://www.gov.br/pf/pt-br/acesso-a-informacao/institucional/quem-e-quem/superintendencias-e-delegacias/sao-paulo/superintendencia-regional-em-sao-paulo</t>
  </si>
  <si>
    <t xml:space="preserve">Oficial – local</t>
  </si>
  <si>
    <t xml:space="preserve">19/10/2026</t>
  </si>
  <si>
    <t xml:space="preserve">Prefeitura de São Paulo</t>
  </si>
  <si>
    <t xml:space="preserve">CRAI – Centro de Referência e Atendimento para Imigrantes</t>
  </si>
  <si>
    <t xml:space="preserve">https://prefeitura.sp.gov.br/web/imigrantes_e_trabalho_decente/w/crai/186981</t>
  </si>
  <si>
    <t xml:space="preserve">Sem data (lida em 28/10/2026)</t>
  </si>
  <si>
    <t xml:space="preserve">Notícia: CIC Imigrante em novo endereço a partir de 21/07/2025</t>
  </si>
  <si>
    <t xml:space="preserve">https://prefeitura.sp.gov.br/web/se/w/o-centro-de-integra%C3%A7%C3%A3o-e-cidadania-imigrante-atender%C3%A1-em-novo-endere%C3%A7o-a-partir-de-21-de-julho</t>
  </si>
  <si>
    <t xml:space="preserve">Oficial – notícia</t>
  </si>
  <si>
    <t xml:space="preserve">15/07/2025</t>
  </si>
  <si>
    <t xml:space="preserve">S20</t>
  </si>
  <si>
    <t xml:space="preserve">Agendamento de atendimento (agenda-web)</t>
  </si>
  <si>
    <t xml:space="preserve">Oficial – sistema</t>
  </si>
  <si>
    <t xml:space="preserve">Não conferido (sistema com login)</t>
  </si>
  <si>
    <t xml:space="preserve">S21</t>
  </si>
  <si>
    <t xml:space="preserve">Consultar andamento do requerimento (SisMigra)</t>
  </si>
  <si>
    <t xml:space="preserve">Ministério do Trabalho e Emprego (gov.br)</t>
  </si>
  <si>
    <t xml:space="preserve">Obter a Carteira de Trabalho Digital</t>
  </si>
  <si>
    <t xml:space="preserve">https://www.gov.br/pt-br/servicos/obter-a-carteira-de-trabalho</t>
  </si>
  <si>
    <t xml:space="preserve">15/12/2025</t>
  </si>
  <si>
    <t xml:space="preserve">S22</t>
  </si>
  <si>
    <t xml:space="preserve">Correios</t>
  </si>
  <si>
    <t xml:space="preserve">Consulta de CEP</t>
  </si>
  <si>
    <t xml:space="preserve">https://www.correios.com.br/</t>
  </si>
  <si>
    <t xml:space="preserve">Oficial – serviço</t>
  </si>
  <si>
    <t xml:space="preserve">Não lida nesta rodada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</si>
</sst>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&quot;R$ &quot;#,##0.00;&quot;-R$ &quot;#,##0.00;&quot;Gratuito&quot;"/>
    <numFmt numFmtId="167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5A4C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E5A4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3CC"/>
        <bgColor rgb="FFEEF1EF"/>
      </patternFill>
    </fill>
    <fill>
      <patternFill patternType="solid">
        <fgColor rgb="FF0E5A4C"/>
        <bgColor rgb="FF008080"/>
      </patternFill>
    </fill>
    <fill>
      <patternFill patternType="solid">
        <fgColor rgb="FFE3F0EB"/>
        <bgColor rgb="FFEEF1EF"/>
      </patternFill>
    </fill>
    <fill>
      <patternFill patternType="solid">
        <fgColor rgb="FFEEF1EF"/>
        <bgColor rgb="FFE3F0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BD6"/>
      </left>
      <right style="thin">
        <color rgb="FFD3DBD6"/>
      </right>
      <top style="thin">
        <color rgb="FFD3DBD6"/>
      </top>
      <bottom style="thin">
        <color rgb="FFD3DB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E5A4C"/>
          <bgColor rgb="FF000000"/>
        </patternFill>
      </fill>
    </dxf>
    <dxf>
      <fill>
        <patternFill patternType="solid">
          <fgColor rgb="FFFFF3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1E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C"/>
      <rgbColor rgb="FFE3F0EB"/>
      <rgbColor rgb="FF660066"/>
      <rgbColor rgb="FFFF8080"/>
      <rgbColor rgb="FF0066CC"/>
      <rgbColor rgb="FFD3DB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5A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2" t="s">
        <v>4</v>
      </c>
      <c r="C5" s="2"/>
      <c r="D5" s="2"/>
      <c r="E5" s="2"/>
      <c r="F5" s="2"/>
    </row>
    <row r="6" customFormat="false" ht="30" hidden="false" customHeight="true" outlineLevel="0" collapsed="false">
      <c r="A6" s="5" t="s">
        <v>5</v>
      </c>
      <c r="B6" s="2" t="s">
        <v>6</v>
      </c>
      <c r="C6" s="2"/>
      <c r="D6" s="2"/>
      <c r="E6" s="2"/>
      <c r="F6" s="2"/>
    </row>
    <row r="7" customFormat="false" ht="15.75" hidden="false" customHeight="true" outlineLevel="0" collapsed="false">
      <c r="A7" s="5" t="s">
        <v>7</v>
      </c>
      <c r="B7" s="2" t="s">
        <v>8</v>
      </c>
      <c r="C7" s="2"/>
      <c r="D7" s="2"/>
      <c r="E7" s="2"/>
      <c r="F7" s="2"/>
    </row>
    <row r="8" customFormat="false" ht="15.75" hidden="false" customHeight="true" outlineLevel="0" collapsed="false">
      <c r="A8" s="5" t="s">
        <v>9</v>
      </c>
      <c r="B8" s="2" t="s">
        <v>10</v>
      </c>
      <c r="C8" s="2"/>
      <c r="D8" s="2"/>
      <c r="E8" s="2"/>
      <c r="F8" s="2"/>
    </row>
    <row r="9" customFormat="false" ht="15.75" hidden="false" customHeight="true" outlineLevel="0" collapsed="false">
      <c r="A9" s="5" t="s">
        <v>11</v>
      </c>
      <c r="B9" s="2" t="s">
        <v>12</v>
      </c>
      <c r="C9" s="2"/>
      <c r="D9" s="2"/>
      <c r="E9" s="2"/>
      <c r="F9" s="2"/>
    </row>
    <row r="10" customFormat="false" ht="15.75" hidden="false" customHeight="true" outlineLevel="0" collapsed="false">
      <c r="A10" s="5" t="s">
        <v>13</v>
      </c>
      <c r="B10" s="2" t="s">
        <v>14</v>
      </c>
      <c r="C10" s="2"/>
      <c r="D10" s="2"/>
      <c r="E10" s="2"/>
      <c r="F10" s="2"/>
    </row>
    <row r="11" customFormat="false" ht="30" hidden="false" customHeight="true" outlineLevel="0" collapsed="false">
      <c r="A11" s="5" t="s">
        <v>15</v>
      </c>
      <c r="B11" s="2" t="s">
        <v>16</v>
      </c>
      <c r="C11" s="2"/>
      <c r="D11" s="2"/>
      <c r="E11" s="2"/>
      <c r="F11" s="2"/>
    </row>
    <row r="12" customFormat="false" ht="15.75" hidden="false" customHeight="true" outlineLevel="0" collapsed="false">
      <c r="A12" s="5" t="s">
        <v>17</v>
      </c>
      <c r="B12" s="2" t="s">
        <v>18</v>
      </c>
      <c r="C12" s="2"/>
      <c r="D12" s="2"/>
      <c r="E12" s="2"/>
      <c r="F12" s="2"/>
    </row>
    <row r="13" customFormat="false" ht="15" hidden="false" customHeight="false" outlineLevel="0" collapsed="false">
      <c r="A13" s="5"/>
      <c r="B13" s="4"/>
    </row>
    <row r="14" customFormat="false" ht="15" hidden="false" customHeight="false" outlineLevel="0" collapsed="false">
      <c r="A14" s="3" t="s">
        <v>19</v>
      </c>
      <c r="B14" s="4"/>
    </row>
    <row r="15" customFormat="false" ht="15.75" hidden="false" customHeight="true" outlineLevel="0" collapsed="false">
      <c r="A15" s="6" t="s">
        <v>20</v>
      </c>
      <c r="B15" s="2" t="s">
        <v>21</v>
      </c>
      <c r="C15" s="2"/>
      <c r="D15" s="2"/>
      <c r="E15" s="2"/>
      <c r="F15" s="2"/>
    </row>
    <row r="16" customFormat="false" ht="15.75" hidden="false" customHeight="true" outlineLevel="0" collapsed="false">
      <c r="A16" s="6" t="s">
        <v>22</v>
      </c>
      <c r="B16" s="2" t="s">
        <v>23</v>
      </c>
      <c r="C16" s="2"/>
      <c r="D16" s="2"/>
      <c r="E16" s="2"/>
      <c r="F16" s="2"/>
    </row>
    <row r="17" customFormat="false" ht="30" hidden="false" customHeight="true" outlineLevel="0" collapsed="false">
      <c r="A17" s="6" t="s">
        <v>24</v>
      </c>
      <c r="B17" s="2" t="s">
        <v>25</v>
      </c>
      <c r="C17" s="2"/>
      <c r="D17" s="2"/>
      <c r="E17" s="2"/>
      <c r="F17" s="2"/>
    </row>
    <row r="18" customFormat="false" ht="15" hidden="false" customHeight="false" outlineLevel="0" collapsed="false">
      <c r="A18" s="5"/>
      <c r="B18" s="4"/>
    </row>
    <row r="19" customFormat="false" ht="15" hidden="false" customHeight="false" outlineLevel="0" collapsed="false">
      <c r="A19" s="3" t="s">
        <v>26</v>
      </c>
      <c r="B19" s="4"/>
    </row>
    <row r="20" customFormat="false" ht="30" hidden="false" customHeight="true" outlineLevel="0" collapsed="false">
      <c r="A20" s="7" t="s">
        <v>27</v>
      </c>
      <c r="B20" s="2" t="s">
        <v>28</v>
      </c>
      <c r="C20" s="2"/>
      <c r="D20" s="2"/>
      <c r="E20" s="2"/>
      <c r="F20" s="2"/>
    </row>
    <row r="21" customFormat="false" ht="15" hidden="false" customHeight="false" outlineLevel="0" collapsed="false">
      <c r="A21" s="5"/>
      <c r="B21" s="4"/>
    </row>
    <row r="22" customFormat="false" ht="45" hidden="false" customHeight="true" outlineLevel="0" collapsed="false">
      <c r="A22" s="5" t="s">
        <v>29</v>
      </c>
      <c r="B22" s="2" t="s">
        <v>30</v>
      </c>
      <c r="C22" s="2"/>
      <c r="D22" s="2"/>
      <c r="E22" s="2"/>
      <c r="F22" s="2"/>
    </row>
    <row r="24" customFormat="false" ht="15" hidden="false" customHeight="false" outlineLevel="0" collapsed="false">
      <c r="A24" s="3" t="s">
        <v>31</v>
      </c>
    </row>
    <row r="25" customFormat="false" ht="23.85" hidden="false" customHeight="false" outlineLevel="0" collapsed="false">
      <c r="A25" s="8" t="s">
        <v>32</v>
      </c>
      <c r="B25" s="8" t="s">
        <v>20</v>
      </c>
      <c r="C25" s="8" t="s">
        <v>22</v>
      </c>
      <c r="D25" s="8" t="s">
        <v>24</v>
      </c>
      <c r="E25" s="8" t="s">
        <v>33</v>
      </c>
      <c r="F25" s="8" t="s">
        <v>34</v>
      </c>
    </row>
    <row r="26" customFormat="false" ht="15" hidden="false" customHeight="false" outlineLevel="0" collapsed="false">
      <c r="A26" s="9" t="s">
        <v>35</v>
      </c>
      <c r="B26" s="9" t="n">
        <f aca="false">COUNTIFS(Documentos!$B$2:$B$55,$A26,Documentos!$D$2:$D$55,"Obrigatório")</f>
        <v>1</v>
      </c>
      <c r="C26" s="9" t="n">
        <f aca="false">COUNTIFS(Documentos!$B$2:$B$55,$A26,Documentos!$D$2:$D$55,"Condicional")</f>
        <v>2</v>
      </c>
      <c r="D26" s="9" t="n">
        <f aca="false">COUNTIFS(Documentos!$B$2:$B$55,$A26,Documentos!$D$2:$D$55,"A confirmar")</f>
        <v>1</v>
      </c>
      <c r="E26" s="9" t="n">
        <f aca="false">COUNTIF(Documentos!$B$2:$B$55,$A26)</f>
        <v>4</v>
      </c>
      <c r="F26" s="10" t="n">
        <f aca="false">IF(E26=0,0,(B26+C26)/E26)</f>
        <v>0.75</v>
      </c>
    </row>
    <row r="27" customFormat="false" ht="15" hidden="false" customHeight="false" outlineLevel="0" collapsed="false">
      <c r="A27" s="9" t="s">
        <v>36</v>
      </c>
      <c r="B27" s="9" t="n">
        <f aca="false">COUNTIFS(Documentos!$B$2:$B$55,$A27,Documentos!$D$2:$D$55,"Obrigatório")</f>
        <v>3</v>
      </c>
      <c r="C27" s="9" t="n">
        <f aca="false">COUNTIFS(Documentos!$B$2:$B$55,$A27,Documentos!$D$2:$D$55,"Condicional")</f>
        <v>7</v>
      </c>
      <c r="D27" s="9" t="n">
        <f aca="false">COUNTIFS(Documentos!$B$2:$B$55,$A27,Documentos!$D$2:$D$55,"A confirmar")</f>
        <v>1</v>
      </c>
      <c r="E27" s="9" t="n">
        <f aca="false">COUNTIF(Documentos!$B$2:$B$55,$A27)</f>
        <v>11</v>
      </c>
      <c r="F27" s="10" t="n">
        <f aca="false">IF(E27=0,0,(B27+C27)/E27)</f>
        <v>0.909090909090909</v>
      </c>
    </row>
    <row r="28" customFormat="false" ht="15" hidden="false" customHeight="false" outlineLevel="0" collapsed="false">
      <c r="A28" s="9" t="s">
        <v>37</v>
      </c>
      <c r="B28" s="9" t="n">
        <f aca="false">COUNTIFS(Documentos!$B$2:$B$55,$A28,Documentos!$D$2:$D$55,"Obrigatório")</f>
        <v>4</v>
      </c>
      <c r="C28" s="9" t="n">
        <f aca="false">COUNTIFS(Documentos!$B$2:$B$55,$A28,Documentos!$D$2:$D$55,"Condicional")</f>
        <v>2</v>
      </c>
      <c r="D28" s="9" t="n">
        <f aca="false">COUNTIFS(Documentos!$B$2:$B$55,$A28,Documentos!$D$2:$D$55,"A confirmar")</f>
        <v>4</v>
      </c>
      <c r="E28" s="9" t="n">
        <f aca="false">COUNTIF(Documentos!$B$2:$B$55,$A28)</f>
        <v>10</v>
      </c>
      <c r="F28" s="10" t="n">
        <f aca="false">IF(E28=0,0,(B28+C28)/E28)</f>
        <v>0.6</v>
      </c>
    </row>
    <row r="29" customFormat="false" ht="15" hidden="false" customHeight="false" outlineLevel="0" collapsed="false">
      <c r="A29" s="9" t="s">
        <v>38</v>
      </c>
      <c r="B29" s="9" t="n">
        <f aca="false">COUNTIFS(Documentos!$B$2:$B$55,$A29,Documentos!$D$2:$D$55,"Obrigatório")</f>
        <v>7</v>
      </c>
      <c r="C29" s="9" t="n">
        <f aca="false">COUNTIFS(Documentos!$B$2:$B$55,$A29,Documentos!$D$2:$D$55,"Condicional")</f>
        <v>3</v>
      </c>
      <c r="D29" s="9" t="n">
        <f aca="false">COUNTIFS(Documentos!$B$2:$B$55,$A29,Documentos!$D$2:$D$55,"A confirmar")</f>
        <v>1</v>
      </c>
      <c r="E29" s="9" t="n">
        <f aca="false">COUNTIF(Documentos!$B$2:$B$55,$A29)</f>
        <v>11</v>
      </c>
      <c r="F29" s="10" t="n">
        <f aca="false">IF(E29=0,0,(B29+C29)/E29)</f>
        <v>0.909090909090909</v>
      </c>
    </row>
    <row r="30" customFormat="false" ht="15" hidden="false" customHeight="false" outlineLevel="0" collapsed="false">
      <c r="A30" s="9" t="s">
        <v>39</v>
      </c>
      <c r="B30" s="9" t="n">
        <f aca="false">COUNTIFS(Documentos!$B$2:$B$55,$A30,Documentos!$D$2:$D$55,"Obrigatório")</f>
        <v>2</v>
      </c>
      <c r="C30" s="9" t="n">
        <f aca="false">COUNTIFS(Documentos!$B$2:$B$55,$A30,Documentos!$D$2:$D$55,"Condicional")</f>
        <v>0</v>
      </c>
      <c r="D30" s="9" t="n">
        <f aca="false">COUNTIFS(Documentos!$B$2:$B$55,$A30,Documentos!$D$2:$D$55,"A confirmar")</f>
        <v>1</v>
      </c>
      <c r="E30" s="9" t="n">
        <f aca="false">COUNTIF(Documentos!$B$2:$B$55,$A30)</f>
        <v>3</v>
      </c>
      <c r="F30" s="10" t="n">
        <f aca="false">IF(E30=0,0,(B30+C30)/E30)</f>
        <v>0.666666666666667</v>
      </c>
    </row>
    <row r="31" customFormat="false" ht="15" hidden="false" customHeight="false" outlineLevel="0" collapsed="false">
      <c r="A31" s="9" t="s">
        <v>40</v>
      </c>
      <c r="B31" s="9" t="n">
        <f aca="false">COUNTIFS(Documentos!$B$2:$B$55,$A31,Documentos!$D$2:$D$55,"Obrigatório")</f>
        <v>3</v>
      </c>
      <c r="C31" s="9" t="n">
        <f aca="false">COUNTIFS(Documentos!$B$2:$B$55,$A31,Documentos!$D$2:$D$55,"Condicional")</f>
        <v>1</v>
      </c>
      <c r="D31" s="9" t="n">
        <f aca="false">COUNTIFS(Documentos!$B$2:$B$55,$A31,Documentos!$D$2:$D$55,"A confirmar")</f>
        <v>0</v>
      </c>
      <c r="E31" s="9" t="n">
        <f aca="false">COUNTIF(Documentos!$B$2:$B$55,$A31)</f>
        <v>4</v>
      </c>
      <c r="F31" s="10" t="n">
        <f aca="false">IF(E31=0,0,(B31+C31)/E31)</f>
        <v>1</v>
      </c>
    </row>
    <row r="32" customFormat="false" ht="15" hidden="false" customHeight="false" outlineLevel="0" collapsed="false">
      <c r="A32" s="9" t="s">
        <v>41</v>
      </c>
      <c r="B32" s="9" t="n">
        <f aca="false">COUNTIFS(Documentos!$B$2:$B$55,$A32,Documentos!$D$2:$D$55,"Obrigatório")</f>
        <v>2</v>
      </c>
      <c r="C32" s="9" t="n">
        <f aca="false">COUNTIFS(Documentos!$B$2:$B$55,$A32,Documentos!$D$2:$D$55,"Condicional")</f>
        <v>2</v>
      </c>
      <c r="D32" s="9" t="n">
        <f aca="false">COUNTIFS(Documentos!$B$2:$B$55,$A32,Documentos!$D$2:$D$55,"A confirmar")</f>
        <v>0</v>
      </c>
      <c r="E32" s="9" t="n">
        <f aca="false">COUNTIF(Documentos!$B$2:$B$55,$A32)</f>
        <v>4</v>
      </c>
      <c r="F32" s="10" t="n">
        <f aca="false">IF(E32=0,0,(B32+C32)/E32)</f>
        <v>1</v>
      </c>
    </row>
    <row r="33" customFormat="false" ht="15" hidden="false" customHeight="false" outlineLevel="0" collapsed="false">
      <c r="A33" s="9" t="s">
        <v>42</v>
      </c>
      <c r="B33" s="9" t="n">
        <f aca="false">COUNTIFS(Documentos!$B$2:$B$55,$A33,Documentos!$D$2:$D$55,"Obrigatório")</f>
        <v>2</v>
      </c>
      <c r="C33" s="9" t="n">
        <f aca="false">COUNTIFS(Documentos!$B$2:$B$55,$A33,Documentos!$D$2:$D$55,"Condicional")</f>
        <v>0</v>
      </c>
      <c r="D33" s="9" t="n">
        <f aca="false">COUNTIFS(Documentos!$B$2:$B$55,$A33,Documentos!$D$2:$D$55,"A confirmar")</f>
        <v>0</v>
      </c>
      <c r="E33" s="9" t="n">
        <f aca="false">COUNTIF(Documentos!$B$2:$B$55,$A33)</f>
        <v>2</v>
      </c>
      <c r="F33" s="10" t="n">
        <f aca="false">IF(E33=0,0,(B33+C33)/E33)</f>
        <v>1</v>
      </c>
    </row>
    <row r="34" customFormat="false" ht="15" hidden="false" customHeight="false" outlineLevel="0" collapsed="false">
      <c r="A34" s="9" t="s">
        <v>43</v>
      </c>
      <c r="B34" s="9" t="n">
        <f aca="false">COUNTIFS(Documentos!$B$2:$B$55,$A34,Documentos!$D$2:$D$55,"Obrigatório")</f>
        <v>0</v>
      </c>
      <c r="C34" s="9" t="n">
        <f aca="false">COUNTIFS(Documentos!$B$2:$B$55,$A34,Documentos!$D$2:$D$55,"Condicional")</f>
        <v>2</v>
      </c>
      <c r="D34" s="9" t="n">
        <f aca="false">COUNTIFS(Documentos!$B$2:$B$55,$A34,Documentos!$D$2:$D$55,"A confirmar")</f>
        <v>3</v>
      </c>
      <c r="E34" s="9" t="n">
        <f aca="false">COUNTIF(Documentos!$B$2:$B$55,$A34)</f>
        <v>5</v>
      </c>
      <c r="F34" s="10" t="n">
        <f aca="false">IF(E34=0,0,(B34+C34)/E34)</f>
        <v>0.4</v>
      </c>
    </row>
    <row r="35" customFormat="false" ht="15" hidden="false" customHeight="false" outlineLevel="0" collapsed="false">
      <c r="A35" s="11" t="s">
        <v>44</v>
      </c>
      <c r="B35" s="11" t="n">
        <f aca="false">SUM(B26:B34)</f>
        <v>24</v>
      </c>
      <c r="C35" s="11" t="n">
        <f aca="false">SUM(C26:C34)</f>
        <v>19</v>
      </c>
      <c r="D35" s="11" t="n">
        <f aca="false">SUM(D26:D34)</f>
        <v>11</v>
      </c>
      <c r="E35" s="11" t="n">
        <f aca="false">SUM(E26:E34)</f>
        <v>54</v>
      </c>
      <c r="F35" s="12" t="n">
        <f aca="false">IF(E35=0,0,(B35+C35)/E35)</f>
        <v>0.796296296296296</v>
      </c>
    </row>
    <row r="37" customFormat="false" ht="15" hidden="false" customHeight="false" outlineLevel="0" collapsed="false">
      <c r="A37" s="5" t="s">
        <v>45</v>
      </c>
      <c r="B37" s="6" t="n">
        <f aca="false">COUNTIF(Fontes!$G$2:$G$24,"Restrita*")</f>
        <v>2</v>
      </c>
    </row>
    <row r="38" customFormat="false" ht="15" hidden="false" customHeight="false" outlineLevel="0" collapsed="false">
      <c r="A38" s="5" t="s">
        <v>46</v>
      </c>
      <c r="B38" s="6" t="n">
        <f aca="false">COUNTIF(Fontes!$E$2:$E$24,"Secundária*")</f>
        <v>2</v>
      </c>
    </row>
  </sheetData>
  <mergeCells count="14">
    <mergeCell ref="A2:F2"/>
    <mergeCell ref="B5:F5"/>
    <mergeCell ref="B6:F6"/>
    <mergeCell ref="B7:F7"/>
    <mergeCell ref="B8:F8"/>
    <mergeCell ref="B9:F9"/>
    <mergeCell ref="B10:F10"/>
    <mergeCell ref="B11:F11"/>
    <mergeCell ref="B12:F12"/>
    <mergeCell ref="B15:F15"/>
    <mergeCell ref="B16:F16"/>
    <mergeCell ref="B17:F17"/>
    <mergeCell ref="B20:F20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44"/>
  </cols>
  <sheetData>
    <row r="1" customFormat="false" ht="30" hidden="false" customHeight="true" outlineLevel="0" collapsed="false">
      <c r="A1" s="8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</row>
    <row r="2" customFormat="false" ht="15" hidden="false" customHeight="false" outlineLevel="0" collapsed="false">
      <c r="A2" s="13" t="s">
        <v>53</v>
      </c>
      <c r="B2" s="13" t="s">
        <v>54</v>
      </c>
      <c r="C2" s="13" t="s">
        <v>55</v>
      </c>
      <c r="D2" s="13" t="s">
        <v>37</v>
      </c>
      <c r="E2" s="13" t="s">
        <v>56</v>
      </c>
      <c r="F2" s="13" t="s">
        <v>57</v>
      </c>
    </row>
    <row r="3" customFormat="false" ht="15" hidden="false" customHeight="false" outlineLevel="0" collapsed="false">
      <c r="A3" s="13" t="s">
        <v>58</v>
      </c>
      <c r="B3" s="13" t="s">
        <v>54</v>
      </c>
      <c r="C3" s="13" t="s">
        <v>59</v>
      </c>
      <c r="D3" s="13" t="s">
        <v>37</v>
      </c>
      <c r="E3" s="13" t="s">
        <v>56</v>
      </c>
      <c r="F3" s="13"/>
    </row>
    <row r="4" customFormat="false" ht="15" hidden="false" customHeight="false" outlineLevel="0" collapsed="false">
      <c r="A4" s="13" t="s">
        <v>60</v>
      </c>
      <c r="B4" s="13" t="s">
        <v>54</v>
      </c>
      <c r="C4" s="13" t="s">
        <v>61</v>
      </c>
      <c r="D4" s="13" t="s">
        <v>37</v>
      </c>
      <c r="E4" s="13" t="s">
        <v>56</v>
      </c>
      <c r="F4" s="13"/>
    </row>
    <row r="5" customFormat="false" ht="15" hidden="false" customHeight="false" outlineLevel="0" collapsed="false">
      <c r="A5" s="13" t="s">
        <v>62</v>
      </c>
      <c r="B5" s="13" t="s">
        <v>54</v>
      </c>
      <c r="C5" s="13" t="s">
        <v>61</v>
      </c>
      <c r="D5" s="13" t="s">
        <v>37</v>
      </c>
      <c r="E5" s="13" t="s">
        <v>56</v>
      </c>
      <c r="F5" s="13"/>
    </row>
    <row r="6" customFormat="false" ht="15" hidden="false" customHeight="false" outlineLevel="0" collapsed="false">
      <c r="A6" s="13" t="s">
        <v>63</v>
      </c>
      <c r="B6" s="13" t="s">
        <v>54</v>
      </c>
      <c r="C6" s="13" t="s">
        <v>61</v>
      </c>
      <c r="D6" s="13" t="s">
        <v>37</v>
      </c>
      <c r="E6" s="13" t="s">
        <v>56</v>
      </c>
      <c r="F6" s="13"/>
    </row>
    <row r="7" customFormat="false" ht="15" hidden="false" customHeight="false" outlineLevel="0" collapsed="false">
      <c r="A7" s="13" t="s">
        <v>64</v>
      </c>
      <c r="B7" s="13" t="s">
        <v>54</v>
      </c>
      <c r="C7" s="13" t="s">
        <v>61</v>
      </c>
      <c r="D7" s="13" t="s">
        <v>37</v>
      </c>
      <c r="E7" s="13" t="s">
        <v>56</v>
      </c>
      <c r="F7" s="13"/>
    </row>
    <row r="8" customFormat="false" ht="15" hidden="false" customHeight="false" outlineLevel="0" collapsed="false">
      <c r="A8" s="13" t="s">
        <v>65</v>
      </c>
      <c r="B8" s="13" t="s">
        <v>54</v>
      </c>
      <c r="C8" s="13" t="s">
        <v>61</v>
      </c>
      <c r="D8" s="13" t="s">
        <v>37</v>
      </c>
      <c r="E8" s="13" t="s">
        <v>56</v>
      </c>
      <c r="F8" s="13"/>
    </row>
    <row r="9" customFormat="false" ht="15" hidden="false" customHeight="false" outlineLevel="0" collapsed="false">
      <c r="A9" s="13" t="s">
        <v>66</v>
      </c>
      <c r="B9" s="13" t="s">
        <v>54</v>
      </c>
      <c r="C9" s="13" t="s">
        <v>67</v>
      </c>
      <c r="D9" s="13" t="s">
        <v>37</v>
      </c>
      <c r="E9" s="13" t="s">
        <v>56</v>
      </c>
      <c r="F9" s="13" t="s">
        <v>68</v>
      </c>
    </row>
    <row r="10" customFormat="false" ht="23.85" hidden="false" customHeight="false" outlineLevel="0" collapsed="false">
      <c r="A10" s="13" t="s">
        <v>69</v>
      </c>
      <c r="B10" s="13" t="s">
        <v>70</v>
      </c>
      <c r="C10" s="13" t="s">
        <v>71</v>
      </c>
      <c r="D10" s="13" t="s">
        <v>36</v>
      </c>
      <c r="E10" s="13" t="s">
        <v>56</v>
      </c>
      <c r="F10" s="13" t="s">
        <v>72</v>
      </c>
    </row>
    <row r="11" customFormat="false" ht="23.85" hidden="false" customHeight="false" outlineLevel="0" collapsed="false">
      <c r="A11" s="13" t="s">
        <v>73</v>
      </c>
      <c r="B11" s="13" t="s">
        <v>70</v>
      </c>
      <c r="C11" s="13" t="s">
        <v>74</v>
      </c>
      <c r="D11" s="13" t="s">
        <v>36</v>
      </c>
      <c r="E11" s="13" t="s">
        <v>75</v>
      </c>
      <c r="F11" s="13"/>
    </row>
    <row r="12" customFormat="false" ht="23.85" hidden="false" customHeight="false" outlineLevel="0" collapsed="false">
      <c r="A12" s="13" t="s">
        <v>76</v>
      </c>
      <c r="B12" s="13" t="s">
        <v>70</v>
      </c>
      <c r="C12" s="13" t="s">
        <v>71</v>
      </c>
      <c r="D12" s="13" t="s">
        <v>36</v>
      </c>
      <c r="E12" s="13" t="s">
        <v>75</v>
      </c>
      <c r="F12" s="13" t="s">
        <v>77</v>
      </c>
    </row>
    <row r="13" customFormat="false" ht="23.85" hidden="false" customHeight="false" outlineLevel="0" collapsed="false">
      <c r="A13" s="14" t="s">
        <v>78</v>
      </c>
      <c r="B13" s="14" t="s">
        <v>79</v>
      </c>
      <c r="C13" s="14" t="s">
        <v>80</v>
      </c>
      <c r="D13" s="14" t="s">
        <v>81</v>
      </c>
      <c r="E13" s="14" t="s">
        <v>82</v>
      </c>
      <c r="F13" s="14" t="s">
        <v>83</v>
      </c>
    </row>
    <row r="14" customFormat="false" ht="15" hidden="false" customHeight="false" outlineLevel="0" collapsed="false">
      <c r="A14" s="14" t="s">
        <v>84</v>
      </c>
      <c r="B14" s="14" t="s">
        <v>85</v>
      </c>
      <c r="C14" s="14" t="s">
        <v>86</v>
      </c>
      <c r="D14" s="14" t="s">
        <v>81</v>
      </c>
      <c r="E14" s="14" t="s">
        <v>56</v>
      </c>
      <c r="F14" s="14" t="s">
        <v>87</v>
      </c>
    </row>
    <row r="15" customFormat="false" ht="15" hidden="false" customHeight="false" outlineLevel="0" collapsed="false">
      <c r="A15" s="14" t="s">
        <v>88</v>
      </c>
      <c r="B15" s="14" t="s">
        <v>79</v>
      </c>
      <c r="C15" s="14" t="s">
        <v>89</v>
      </c>
      <c r="D15" s="14" t="s">
        <v>81</v>
      </c>
      <c r="E15" s="14" t="s">
        <v>75</v>
      </c>
      <c r="F15" s="14"/>
    </row>
    <row r="16" customFormat="false" ht="15" hidden="false" customHeight="false" outlineLevel="0" collapsed="false">
      <c r="A16" s="14" t="s">
        <v>90</v>
      </c>
      <c r="B16" s="14" t="s">
        <v>79</v>
      </c>
      <c r="C16" s="14" t="s">
        <v>91</v>
      </c>
      <c r="D16" s="14" t="s">
        <v>81</v>
      </c>
      <c r="E16" s="14" t="s">
        <v>75</v>
      </c>
      <c r="F16" s="14"/>
    </row>
    <row r="17" customFormat="false" ht="15" hidden="false" customHeight="false" outlineLevel="0" collapsed="false">
      <c r="A17" s="14" t="s">
        <v>92</v>
      </c>
      <c r="B17" s="14" t="s">
        <v>79</v>
      </c>
      <c r="C17" s="14" t="s">
        <v>93</v>
      </c>
      <c r="D17" s="14" t="s">
        <v>81</v>
      </c>
      <c r="E17" s="14" t="s">
        <v>75</v>
      </c>
      <c r="F17" s="14"/>
    </row>
    <row r="18" customFormat="false" ht="15" hidden="false" customHeight="false" outlineLevel="0" collapsed="false">
      <c r="A18" s="14" t="s">
        <v>94</v>
      </c>
      <c r="B18" s="14" t="s">
        <v>85</v>
      </c>
      <c r="C18" s="14" t="s">
        <v>95</v>
      </c>
      <c r="D18" s="14" t="s">
        <v>81</v>
      </c>
      <c r="E18" s="14" t="s">
        <v>96</v>
      </c>
      <c r="F18" s="14"/>
    </row>
    <row r="19" customFormat="false" ht="15" hidden="false" customHeight="false" outlineLevel="0" collapsed="false">
      <c r="A19" s="14" t="s">
        <v>97</v>
      </c>
      <c r="B19" s="14" t="s">
        <v>85</v>
      </c>
      <c r="C19" s="14" t="s">
        <v>98</v>
      </c>
      <c r="D19" s="14" t="s">
        <v>81</v>
      </c>
      <c r="E19" s="14" t="s">
        <v>56</v>
      </c>
      <c r="F19" s="14"/>
    </row>
    <row r="20" customFormat="false" ht="15" hidden="false" customHeight="false" outlineLevel="0" collapsed="false">
      <c r="A20" s="14" t="s">
        <v>99</v>
      </c>
      <c r="B20" s="14" t="s">
        <v>100</v>
      </c>
      <c r="C20" s="14" t="s">
        <v>101</v>
      </c>
      <c r="D20" s="14" t="s">
        <v>81</v>
      </c>
      <c r="E20" s="14" t="s">
        <v>102</v>
      </c>
      <c r="F20" s="14" t="s">
        <v>103</v>
      </c>
    </row>
    <row r="21" customFormat="false" ht="15" hidden="false" customHeight="false" outlineLevel="0" collapsed="false">
      <c r="A21" s="14" t="s">
        <v>104</v>
      </c>
      <c r="B21" s="14" t="s">
        <v>100</v>
      </c>
      <c r="C21" s="14" t="s">
        <v>101</v>
      </c>
      <c r="D21" s="14" t="s">
        <v>81</v>
      </c>
      <c r="E21" s="14" t="s">
        <v>102</v>
      </c>
      <c r="F21" s="14" t="s">
        <v>105</v>
      </c>
    </row>
    <row r="22" customFormat="false" ht="15" hidden="false" customHeight="false" outlineLevel="0" collapsed="false">
      <c r="A22" s="14" t="s">
        <v>106</v>
      </c>
      <c r="B22" s="14" t="s">
        <v>100</v>
      </c>
      <c r="C22" s="14" t="s">
        <v>101</v>
      </c>
      <c r="D22" s="14" t="s">
        <v>81</v>
      </c>
      <c r="E22" s="14" t="s">
        <v>102</v>
      </c>
      <c r="F22" s="14" t="s">
        <v>105</v>
      </c>
    </row>
    <row r="23" customFormat="false" ht="15" hidden="false" customHeight="false" outlineLevel="0" collapsed="false">
      <c r="A23" s="14" t="s">
        <v>107</v>
      </c>
      <c r="B23" s="14" t="s">
        <v>100</v>
      </c>
      <c r="C23" s="14" t="s">
        <v>101</v>
      </c>
      <c r="D23" s="14" t="s">
        <v>81</v>
      </c>
      <c r="E23" s="14" t="s">
        <v>102</v>
      </c>
      <c r="F23" s="14" t="s">
        <v>105</v>
      </c>
    </row>
    <row r="24" customFormat="false" ht="15" hidden="false" customHeight="false" outlineLevel="0" collapsed="false">
      <c r="A24" s="14" t="s">
        <v>108</v>
      </c>
      <c r="B24" s="14" t="s">
        <v>100</v>
      </c>
      <c r="C24" s="14" t="s">
        <v>101</v>
      </c>
      <c r="D24" s="14" t="s">
        <v>81</v>
      </c>
      <c r="E24" s="14" t="s">
        <v>102</v>
      </c>
      <c r="F24" s="14" t="s">
        <v>105</v>
      </c>
    </row>
    <row r="25" customFormat="false" ht="15" hidden="false" customHeight="false" outlineLevel="0" collapsed="false">
      <c r="A25" s="14" t="s">
        <v>109</v>
      </c>
      <c r="B25" s="14" t="s">
        <v>100</v>
      </c>
      <c r="C25" s="14" t="s">
        <v>101</v>
      </c>
      <c r="D25" s="14" t="s">
        <v>81</v>
      </c>
      <c r="E25" s="14" t="s">
        <v>102</v>
      </c>
      <c r="F25" s="14" t="s">
        <v>105</v>
      </c>
    </row>
    <row r="26" customFormat="false" ht="15" hidden="false" customHeight="false" outlineLevel="0" collapsed="false">
      <c r="A26" s="14" t="s">
        <v>110</v>
      </c>
      <c r="B26" s="14" t="s">
        <v>100</v>
      </c>
      <c r="C26" s="14" t="s">
        <v>101</v>
      </c>
      <c r="D26" s="14" t="s">
        <v>81</v>
      </c>
      <c r="E26" s="14" t="s">
        <v>102</v>
      </c>
      <c r="F26" s="14" t="s">
        <v>105</v>
      </c>
    </row>
    <row r="27" customFormat="false" ht="35.05" hidden="false" customHeight="false" outlineLevel="0" collapsed="false">
      <c r="A27" s="13" t="s">
        <v>111</v>
      </c>
      <c r="B27" s="13" t="s">
        <v>112</v>
      </c>
      <c r="C27" s="13" t="s">
        <v>113</v>
      </c>
      <c r="D27" s="13" t="s">
        <v>114</v>
      </c>
      <c r="E27" s="13" t="s">
        <v>115</v>
      </c>
      <c r="F27" s="13" t="s">
        <v>116</v>
      </c>
    </row>
  </sheetData>
  <autoFilter ref="A1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30"/>
    <col collapsed="false" customWidth="true" hidden="false" outlineLevel="0" max="12" min="12" style="0" width="44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  <c r="I1" s="8" t="s">
        <v>125</v>
      </c>
      <c r="J1" s="8" t="s">
        <v>17</v>
      </c>
      <c r="K1" s="8" t="s">
        <v>126</v>
      </c>
      <c r="L1" s="8" t="s">
        <v>127</v>
      </c>
      <c r="M1" s="15" t="s">
        <v>128</v>
      </c>
    </row>
    <row r="2" customFormat="false" ht="68.65" hidden="false" customHeight="false" outlineLevel="0" collapsed="false">
      <c r="A2" s="13" t="s">
        <v>35</v>
      </c>
      <c r="B2" s="13" t="s">
        <v>129</v>
      </c>
      <c r="C2" s="13" t="s">
        <v>130</v>
      </c>
      <c r="D2" s="13" t="s">
        <v>131</v>
      </c>
      <c r="E2" s="13" t="s">
        <v>132</v>
      </c>
      <c r="F2" s="13" t="s">
        <v>133</v>
      </c>
      <c r="G2" s="13" t="s">
        <v>134</v>
      </c>
      <c r="H2" s="13" t="s">
        <v>135</v>
      </c>
      <c r="I2" s="13" t="s">
        <v>136</v>
      </c>
      <c r="J2" s="13" t="s">
        <v>137</v>
      </c>
      <c r="K2" s="13" t="s">
        <v>138</v>
      </c>
      <c r="L2" s="13" t="s">
        <v>139</v>
      </c>
      <c r="M2" s="5" t="s">
        <v>140</v>
      </c>
    </row>
    <row r="3" customFormat="false" ht="46.25" hidden="false" customHeight="false" outlineLevel="0" collapsed="false">
      <c r="A3" s="13" t="s">
        <v>36</v>
      </c>
      <c r="B3" s="13" t="s">
        <v>141</v>
      </c>
      <c r="C3" s="13" t="s">
        <v>130</v>
      </c>
      <c r="D3" s="13" t="s">
        <v>142</v>
      </c>
      <c r="E3" s="13" t="s">
        <v>143</v>
      </c>
      <c r="F3" s="13" t="s">
        <v>144</v>
      </c>
      <c r="G3" s="13" t="s">
        <v>145</v>
      </c>
      <c r="H3" s="13" t="s">
        <v>146</v>
      </c>
      <c r="I3" s="13" t="s">
        <v>147</v>
      </c>
      <c r="J3" s="13" t="s">
        <v>148</v>
      </c>
      <c r="K3" s="13" t="s">
        <v>149</v>
      </c>
      <c r="L3" s="13" t="s">
        <v>150</v>
      </c>
      <c r="M3" s="5" t="s">
        <v>140</v>
      </c>
    </row>
    <row r="4" customFormat="false" ht="46.25" hidden="false" customHeight="false" outlineLevel="0" collapsed="false">
      <c r="A4" s="14" t="s">
        <v>37</v>
      </c>
      <c r="B4" s="14" t="s">
        <v>151</v>
      </c>
      <c r="C4" s="14" t="s">
        <v>130</v>
      </c>
      <c r="D4" s="14" t="s">
        <v>142</v>
      </c>
      <c r="E4" s="14" t="s">
        <v>152</v>
      </c>
      <c r="F4" s="14" t="s">
        <v>153</v>
      </c>
      <c r="G4" s="14" t="s">
        <v>154</v>
      </c>
      <c r="H4" s="14" t="s">
        <v>155</v>
      </c>
      <c r="I4" s="14" t="s">
        <v>156</v>
      </c>
      <c r="J4" s="14" t="s">
        <v>157</v>
      </c>
      <c r="K4" s="14" t="s">
        <v>158</v>
      </c>
      <c r="L4" s="14" t="s">
        <v>159</v>
      </c>
      <c r="M4" s="5" t="s">
        <v>140</v>
      </c>
    </row>
    <row r="5" customFormat="false" ht="57.45" hidden="false" customHeight="false" outlineLevel="0" collapsed="false">
      <c r="A5" s="13" t="s">
        <v>38</v>
      </c>
      <c r="B5" s="13" t="s">
        <v>160</v>
      </c>
      <c r="C5" s="13" t="s">
        <v>130</v>
      </c>
      <c r="D5" s="13" t="s">
        <v>142</v>
      </c>
      <c r="E5" s="13" t="s">
        <v>161</v>
      </c>
      <c r="F5" s="13" t="s">
        <v>162</v>
      </c>
      <c r="G5" s="13" t="s">
        <v>163</v>
      </c>
      <c r="H5" s="13" t="s">
        <v>164</v>
      </c>
      <c r="I5" s="13" t="s">
        <v>165</v>
      </c>
      <c r="J5" s="13" t="s">
        <v>166</v>
      </c>
      <c r="K5" s="13" t="s">
        <v>167</v>
      </c>
      <c r="L5" s="13" t="s">
        <v>168</v>
      </c>
      <c r="M5" s="5" t="s">
        <v>140</v>
      </c>
    </row>
    <row r="6" customFormat="false" ht="46.25" hidden="false" customHeight="false" outlineLevel="0" collapsed="false">
      <c r="A6" s="13" t="s">
        <v>39</v>
      </c>
      <c r="B6" s="13" t="s">
        <v>169</v>
      </c>
      <c r="C6" s="13" t="s">
        <v>130</v>
      </c>
      <c r="D6" s="13" t="s">
        <v>142</v>
      </c>
      <c r="E6" s="13" t="s">
        <v>170</v>
      </c>
      <c r="F6" s="13" t="s">
        <v>171</v>
      </c>
      <c r="G6" s="13" t="s">
        <v>172</v>
      </c>
      <c r="H6" s="13" t="s">
        <v>173</v>
      </c>
      <c r="I6" s="13" t="s">
        <v>174</v>
      </c>
      <c r="J6" s="13" t="s">
        <v>175</v>
      </c>
      <c r="K6" s="13" t="s">
        <v>176</v>
      </c>
      <c r="L6" s="13" t="s">
        <v>177</v>
      </c>
      <c r="M6" s="5" t="s">
        <v>140</v>
      </c>
    </row>
    <row r="7" customFormat="false" ht="46.25" hidden="false" customHeight="false" outlineLevel="0" collapsed="false">
      <c r="A7" s="13" t="s">
        <v>40</v>
      </c>
      <c r="B7" s="13" t="s">
        <v>178</v>
      </c>
      <c r="C7" s="13" t="s">
        <v>130</v>
      </c>
      <c r="D7" s="13" t="s">
        <v>179</v>
      </c>
      <c r="E7" s="13" t="s">
        <v>180</v>
      </c>
      <c r="F7" s="13" t="s">
        <v>181</v>
      </c>
      <c r="G7" s="13" t="s">
        <v>182</v>
      </c>
      <c r="H7" s="13" t="s">
        <v>183</v>
      </c>
      <c r="I7" s="13" t="s">
        <v>184</v>
      </c>
      <c r="J7" s="13" t="s">
        <v>185</v>
      </c>
      <c r="K7" s="13" t="s">
        <v>138</v>
      </c>
      <c r="L7" s="13" t="s">
        <v>186</v>
      </c>
      <c r="M7" s="5" t="s">
        <v>140</v>
      </c>
    </row>
    <row r="8" customFormat="false" ht="23.85" hidden="false" customHeight="false" outlineLevel="0" collapsed="false">
      <c r="A8" s="13" t="s">
        <v>41</v>
      </c>
      <c r="B8" s="13" t="s">
        <v>187</v>
      </c>
      <c r="C8" s="13" t="s">
        <v>130</v>
      </c>
      <c r="D8" s="13" t="s">
        <v>142</v>
      </c>
      <c r="E8" s="13" t="s">
        <v>188</v>
      </c>
      <c r="F8" s="13" t="s">
        <v>189</v>
      </c>
      <c r="G8" s="13" t="s">
        <v>182</v>
      </c>
      <c r="H8" s="13" t="s">
        <v>190</v>
      </c>
      <c r="I8" s="13" t="s">
        <v>24</v>
      </c>
      <c r="J8" s="13" t="s">
        <v>191</v>
      </c>
      <c r="K8" s="13" t="s">
        <v>138</v>
      </c>
      <c r="L8" s="13"/>
      <c r="M8" s="5" t="s">
        <v>140</v>
      </c>
    </row>
    <row r="9" customFormat="false" ht="23.85" hidden="false" customHeight="false" outlineLevel="0" collapsed="false">
      <c r="A9" s="13" t="s">
        <v>42</v>
      </c>
      <c r="B9" s="13" t="s">
        <v>192</v>
      </c>
      <c r="C9" s="13" t="s">
        <v>130</v>
      </c>
      <c r="D9" s="13" t="s">
        <v>142</v>
      </c>
      <c r="E9" s="13" t="s">
        <v>193</v>
      </c>
      <c r="F9" s="13" t="s">
        <v>194</v>
      </c>
      <c r="G9" s="13" t="s">
        <v>182</v>
      </c>
      <c r="H9" s="13" t="s">
        <v>115</v>
      </c>
      <c r="I9" s="13" t="s">
        <v>24</v>
      </c>
      <c r="J9" s="13" t="s">
        <v>195</v>
      </c>
      <c r="K9" s="13" t="s">
        <v>138</v>
      </c>
      <c r="L9" s="13"/>
      <c r="M9" s="5" t="s">
        <v>140</v>
      </c>
    </row>
    <row r="10" customFormat="false" ht="23.85" hidden="false" customHeight="false" outlineLevel="0" collapsed="false">
      <c r="A10" s="13" t="s">
        <v>43</v>
      </c>
      <c r="B10" s="13" t="s">
        <v>196</v>
      </c>
      <c r="C10" s="13" t="s">
        <v>197</v>
      </c>
      <c r="D10" s="13" t="s">
        <v>198</v>
      </c>
      <c r="E10" s="13" t="s">
        <v>199</v>
      </c>
      <c r="F10" s="13" t="s">
        <v>200</v>
      </c>
      <c r="G10" s="13" t="s">
        <v>115</v>
      </c>
      <c r="H10" s="13" t="s">
        <v>115</v>
      </c>
      <c r="I10" s="13" t="s">
        <v>201</v>
      </c>
      <c r="J10" s="13" t="s">
        <v>202</v>
      </c>
      <c r="K10" s="13" t="s">
        <v>203</v>
      </c>
      <c r="L10" s="13" t="s">
        <v>204</v>
      </c>
      <c r="M10" s="5" t="s">
        <v>140</v>
      </c>
    </row>
  </sheetData>
  <autoFilter ref="A1:L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6" min="5" style="0" width="36"/>
    <col collapsed="false" customWidth="true" hidden="false" outlineLevel="0" max="7" min="7" style="0" width="30"/>
    <col collapsed="false" customWidth="true" hidden="false" outlineLevel="0" max="8" min="8" style="0" width="3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36"/>
  </cols>
  <sheetData>
    <row r="1" customFormat="false" ht="30" hidden="false" customHeight="true" outlineLevel="0" collapsed="false">
      <c r="A1" s="8" t="s">
        <v>205</v>
      </c>
      <c r="B1" s="8" t="s">
        <v>117</v>
      </c>
      <c r="C1" s="8" t="s">
        <v>206</v>
      </c>
      <c r="D1" s="8" t="s">
        <v>207</v>
      </c>
      <c r="E1" s="8" t="s">
        <v>208</v>
      </c>
      <c r="F1" s="8" t="s">
        <v>209</v>
      </c>
      <c r="G1" s="8" t="s">
        <v>210</v>
      </c>
      <c r="H1" s="8" t="s">
        <v>211</v>
      </c>
      <c r="I1" s="8" t="s">
        <v>212</v>
      </c>
      <c r="J1" s="8" t="s">
        <v>213</v>
      </c>
      <c r="K1" s="8" t="s">
        <v>52</v>
      </c>
    </row>
    <row r="2" customFormat="false" ht="35.05" hidden="false" customHeight="false" outlineLevel="0" collapsed="false">
      <c r="A2" s="13" t="s">
        <v>214</v>
      </c>
      <c r="B2" s="13" t="s">
        <v>35</v>
      </c>
      <c r="C2" s="13" t="s">
        <v>215</v>
      </c>
      <c r="D2" s="13" t="s">
        <v>20</v>
      </c>
      <c r="E2" s="13"/>
      <c r="F2" s="13"/>
      <c r="G2" s="13" t="s">
        <v>216</v>
      </c>
      <c r="H2" s="13"/>
      <c r="I2" s="13" t="s">
        <v>217</v>
      </c>
      <c r="J2" s="13" t="s">
        <v>137</v>
      </c>
      <c r="K2" s="13"/>
    </row>
    <row r="3" customFormat="false" ht="35.05" hidden="false" customHeight="false" outlineLevel="0" collapsed="false">
      <c r="A3" s="13" t="s">
        <v>218</v>
      </c>
      <c r="B3" s="13" t="s">
        <v>35</v>
      </c>
      <c r="C3" s="13" t="s">
        <v>219</v>
      </c>
      <c r="D3" s="13" t="s">
        <v>22</v>
      </c>
      <c r="E3" s="13" t="s">
        <v>220</v>
      </c>
      <c r="F3" s="13"/>
      <c r="G3" s="13" t="s">
        <v>221</v>
      </c>
      <c r="H3" s="13" t="s">
        <v>24</v>
      </c>
      <c r="I3" s="13" t="s">
        <v>217</v>
      </c>
      <c r="J3" s="13" t="s">
        <v>137</v>
      </c>
      <c r="K3" s="13"/>
    </row>
    <row r="4" customFormat="false" ht="23.85" hidden="false" customHeight="false" outlineLevel="0" collapsed="false">
      <c r="A4" s="13" t="s">
        <v>222</v>
      </c>
      <c r="B4" s="13" t="s">
        <v>35</v>
      </c>
      <c r="C4" s="13" t="s">
        <v>223</v>
      </c>
      <c r="D4" s="13" t="s">
        <v>22</v>
      </c>
      <c r="E4" s="13" t="s">
        <v>224</v>
      </c>
      <c r="F4" s="13" t="s">
        <v>225</v>
      </c>
      <c r="G4" s="13" t="s">
        <v>226</v>
      </c>
      <c r="H4" s="13"/>
      <c r="I4" s="13" t="s">
        <v>227</v>
      </c>
      <c r="J4" s="13" t="s">
        <v>137</v>
      </c>
      <c r="K4" s="13"/>
    </row>
    <row r="5" customFormat="false" ht="15" hidden="false" customHeight="false" outlineLevel="0" collapsed="false">
      <c r="A5" s="14" t="s">
        <v>228</v>
      </c>
      <c r="B5" s="14" t="s">
        <v>35</v>
      </c>
      <c r="C5" s="14" t="s">
        <v>229</v>
      </c>
      <c r="D5" s="14" t="s">
        <v>24</v>
      </c>
      <c r="E5" s="14" t="s">
        <v>230</v>
      </c>
      <c r="F5" s="14"/>
      <c r="G5" s="14"/>
      <c r="H5" s="14"/>
      <c r="I5" s="14" t="s">
        <v>231</v>
      </c>
      <c r="J5" s="14" t="s">
        <v>137</v>
      </c>
      <c r="K5" s="14"/>
    </row>
    <row r="6" customFormat="false" ht="23.85" hidden="false" customHeight="false" outlineLevel="0" collapsed="false">
      <c r="A6" s="13" t="s">
        <v>232</v>
      </c>
      <c r="B6" s="13" t="s">
        <v>36</v>
      </c>
      <c r="C6" s="13" t="s">
        <v>233</v>
      </c>
      <c r="D6" s="13" t="s">
        <v>20</v>
      </c>
      <c r="E6" s="13"/>
      <c r="F6" s="13"/>
      <c r="G6" s="13" t="s">
        <v>234</v>
      </c>
      <c r="H6" s="13"/>
      <c r="I6" s="13" t="s">
        <v>235</v>
      </c>
      <c r="J6" s="13" t="s">
        <v>236</v>
      </c>
      <c r="K6" s="13"/>
    </row>
    <row r="7" customFormat="false" ht="46.25" hidden="false" customHeight="false" outlineLevel="0" collapsed="false">
      <c r="A7" s="13" t="s">
        <v>237</v>
      </c>
      <c r="B7" s="13" t="s">
        <v>36</v>
      </c>
      <c r="C7" s="13" t="s">
        <v>238</v>
      </c>
      <c r="D7" s="13" t="s">
        <v>20</v>
      </c>
      <c r="E7" s="13"/>
      <c r="F7" s="13" t="s">
        <v>239</v>
      </c>
      <c r="G7" s="13" t="s">
        <v>240</v>
      </c>
      <c r="H7" s="13"/>
      <c r="I7" s="13" t="s">
        <v>235</v>
      </c>
      <c r="J7" s="13" t="s">
        <v>236</v>
      </c>
      <c r="K7" s="13"/>
    </row>
    <row r="8" customFormat="false" ht="23.85" hidden="false" customHeight="false" outlineLevel="0" collapsed="false">
      <c r="A8" s="13" t="s">
        <v>241</v>
      </c>
      <c r="B8" s="13" t="s">
        <v>36</v>
      </c>
      <c r="C8" s="13" t="s">
        <v>242</v>
      </c>
      <c r="D8" s="13" t="s">
        <v>22</v>
      </c>
      <c r="E8" s="13" t="s">
        <v>243</v>
      </c>
      <c r="F8" s="13" t="s">
        <v>244</v>
      </c>
      <c r="G8" s="13" t="s">
        <v>221</v>
      </c>
      <c r="H8" s="13"/>
      <c r="I8" s="13" t="s">
        <v>235</v>
      </c>
      <c r="J8" s="13" t="s">
        <v>236</v>
      </c>
      <c r="K8" s="13"/>
    </row>
    <row r="9" customFormat="false" ht="23.85" hidden="false" customHeight="false" outlineLevel="0" collapsed="false">
      <c r="A9" s="13" t="s">
        <v>245</v>
      </c>
      <c r="B9" s="13" t="s">
        <v>36</v>
      </c>
      <c r="C9" s="13" t="s">
        <v>246</v>
      </c>
      <c r="D9" s="13" t="s">
        <v>20</v>
      </c>
      <c r="E9" s="13" t="s">
        <v>247</v>
      </c>
      <c r="F9" s="13"/>
      <c r="G9" s="13" t="s">
        <v>248</v>
      </c>
      <c r="H9" s="13"/>
      <c r="I9" s="13" t="s">
        <v>235</v>
      </c>
      <c r="J9" s="13" t="s">
        <v>236</v>
      </c>
      <c r="K9" s="13"/>
    </row>
    <row r="10" customFormat="false" ht="23.85" hidden="false" customHeight="false" outlineLevel="0" collapsed="false">
      <c r="A10" s="13" t="s">
        <v>249</v>
      </c>
      <c r="B10" s="13" t="s">
        <v>36</v>
      </c>
      <c r="C10" s="13" t="s">
        <v>250</v>
      </c>
      <c r="D10" s="13" t="s">
        <v>22</v>
      </c>
      <c r="E10" s="13" t="s">
        <v>251</v>
      </c>
      <c r="F10" s="13" t="s">
        <v>252</v>
      </c>
      <c r="G10" s="13" t="s">
        <v>253</v>
      </c>
      <c r="H10" s="13"/>
      <c r="I10" s="13" t="s">
        <v>217</v>
      </c>
      <c r="J10" s="13" t="s">
        <v>254</v>
      </c>
      <c r="K10" s="13"/>
    </row>
    <row r="11" customFormat="false" ht="23.85" hidden="false" customHeight="false" outlineLevel="0" collapsed="false">
      <c r="A11" s="13" t="s">
        <v>255</v>
      </c>
      <c r="B11" s="13" t="s">
        <v>36</v>
      </c>
      <c r="C11" s="13" t="s">
        <v>256</v>
      </c>
      <c r="D11" s="13" t="s">
        <v>22</v>
      </c>
      <c r="E11" s="13" t="s">
        <v>257</v>
      </c>
      <c r="F11" s="13"/>
      <c r="G11" s="13" t="s">
        <v>258</v>
      </c>
      <c r="H11" s="13"/>
      <c r="I11" s="13" t="s">
        <v>235</v>
      </c>
      <c r="J11" s="13" t="s">
        <v>236</v>
      </c>
      <c r="K11" s="13"/>
    </row>
    <row r="12" customFormat="false" ht="15" hidden="false" customHeight="false" outlineLevel="0" collapsed="false">
      <c r="A12" s="14" t="s">
        <v>259</v>
      </c>
      <c r="B12" s="14" t="s">
        <v>36</v>
      </c>
      <c r="C12" s="14" t="s">
        <v>260</v>
      </c>
      <c r="D12" s="14" t="s">
        <v>24</v>
      </c>
      <c r="E12" s="14"/>
      <c r="F12" s="14"/>
      <c r="G12" s="14"/>
      <c r="H12" s="14"/>
      <c r="I12" s="14" t="s">
        <v>235</v>
      </c>
      <c r="J12" s="14" t="s">
        <v>261</v>
      </c>
      <c r="K12" s="14" t="s">
        <v>262</v>
      </c>
    </row>
    <row r="13" customFormat="false" ht="23.85" hidden="false" customHeight="false" outlineLevel="0" collapsed="false">
      <c r="A13" s="13" t="s">
        <v>263</v>
      </c>
      <c r="B13" s="13" t="s">
        <v>36</v>
      </c>
      <c r="C13" s="13" t="s">
        <v>264</v>
      </c>
      <c r="D13" s="13" t="s">
        <v>22</v>
      </c>
      <c r="E13" s="13" t="s">
        <v>265</v>
      </c>
      <c r="F13" s="13"/>
      <c r="G13" s="13" t="s">
        <v>266</v>
      </c>
      <c r="H13" s="13"/>
      <c r="I13" s="13" t="s">
        <v>267</v>
      </c>
      <c r="J13" s="13" t="s">
        <v>236</v>
      </c>
      <c r="K13" s="13"/>
    </row>
    <row r="14" customFormat="false" ht="23.85" hidden="false" customHeight="false" outlineLevel="0" collapsed="false">
      <c r="A14" s="13" t="s">
        <v>268</v>
      </c>
      <c r="B14" s="13" t="s">
        <v>36</v>
      </c>
      <c r="C14" s="13" t="s">
        <v>269</v>
      </c>
      <c r="D14" s="13" t="s">
        <v>22</v>
      </c>
      <c r="E14" s="13" t="s">
        <v>270</v>
      </c>
      <c r="F14" s="13"/>
      <c r="G14" s="13" t="s">
        <v>271</v>
      </c>
      <c r="H14" s="13"/>
      <c r="I14" s="13" t="s">
        <v>267</v>
      </c>
      <c r="J14" s="13" t="s">
        <v>272</v>
      </c>
      <c r="K14" s="13"/>
    </row>
    <row r="15" customFormat="false" ht="23.85" hidden="false" customHeight="false" outlineLevel="0" collapsed="false">
      <c r="A15" s="13" t="s">
        <v>273</v>
      </c>
      <c r="B15" s="13" t="s">
        <v>36</v>
      </c>
      <c r="C15" s="13" t="s">
        <v>274</v>
      </c>
      <c r="D15" s="13" t="s">
        <v>22</v>
      </c>
      <c r="E15" s="13" t="s">
        <v>275</v>
      </c>
      <c r="F15" s="13"/>
      <c r="G15" s="13" t="s">
        <v>248</v>
      </c>
      <c r="H15" s="13"/>
      <c r="I15" s="13" t="s">
        <v>267</v>
      </c>
      <c r="J15" s="13" t="s">
        <v>236</v>
      </c>
      <c r="K15" s="13"/>
    </row>
    <row r="16" customFormat="false" ht="15" hidden="false" customHeight="false" outlineLevel="0" collapsed="false">
      <c r="A16" s="13" t="s">
        <v>276</v>
      </c>
      <c r="B16" s="13" t="s">
        <v>36</v>
      </c>
      <c r="C16" s="13" t="s">
        <v>277</v>
      </c>
      <c r="D16" s="13" t="s">
        <v>22</v>
      </c>
      <c r="E16" s="13" t="s">
        <v>278</v>
      </c>
      <c r="F16" s="13"/>
      <c r="G16" s="13" t="s">
        <v>279</v>
      </c>
      <c r="H16" s="13"/>
      <c r="I16" s="13" t="s">
        <v>267</v>
      </c>
      <c r="J16" s="13" t="s">
        <v>236</v>
      </c>
      <c r="K16" s="13"/>
    </row>
    <row r="17" customFormat="false" ht="23.85" hidden="false" customHeight="false" outlineLevel="0" collapsed="false">
      <c r="A17" s="13" t="s">
        <v>280</v>
      </c>
      <c r="B17" s="13" t="s">
        <v>37</v>
      </c>
      <c r="C17" s="13" t="s">
        <v>281</v>
      </c>
      <c r="D17" s="13" t="s">
        <v>20</v>
      </c>
      <c r="E17" s="13"/>
      <c r="F17" s="13"/>
      <c r="G17" s="13" t="s">
        <v>282</v>
      </c>
      <c r="H17" s="13"/>
      <c r="I17" s="13" t="s">
        <v>235</v>
      </c>
      <c r="J17" s="13" t="s">
        <v>283</v>
      </c>
      <c r="K17" s="13"/>
    </row>
    <row r="18" customFormat="false" ht="23.85" hidden="false" customHeight="false" outlineLevel="0" collapsed="false">
      <c r="A18" s="13" t="s">
        <v>284</v>
      </c>
      <c r="B18" s="13" t="s">
        <v>37</v>
      </c>
      <c r="C18" s="13" t="s">
        <v>285</v>
      </c>
      <c r="D18" s="13" t="s">
        <v>20</v>
      </c>
      <c r="E18" s="13" t="s">
        <v>286</v>
      </c>
      <c r="F18" s="13"/>
      <c r="G18" s="13" t="s">
        <v>221</v>
      </c>
      <c r="H18" s="13" t="s">
        <v>287</v>
      </c>
      <c r="I18" s="13" t="s">
        <v>235</v>
      </c>
      <c r="J18" s="13" t="s">
        <v>288</v>
      </c>
      <c r="K18" s="13"/>
    </row>
    <row r="19" customFormat="false" ht="35.05" hidden="false" customHeight="false" outlineLevel="0" collapsed="false">
      <c r="A19" s="13" t="s">
        <v>289</v>
      </c>
      <c r="B19" s="13" t="s">
        <v>37</v>
      </c>
      <c r="C19" s="13" t="s">
        <v>290</v>
      </c>
      <c r="D19" s="13" t="s">
        <v>20</v>
      </c>
      <c r="E19" s="13"/>
      <c r="F19" s="13" t="s">
        <v>291</v>
      </c>
      <c r="G19" s="13" t="s">
        <v>292</v>
      </c>
      <c r="H19" s="13" t="s">
        <v>287</v>
      </c>
      <c r="I19" s="13" t="s">
        <v>235</v>
      </c>
      <c r="J19" s="13" t="s">
        <v>293</v>
      </c>
      <c r="K19" s="13"/>
    </row>
    <row r="20" customFormat="false" ht="23.85" hidden="false" customHeight="false" outlineLevel="0" collapsed="false">
      <c r="A20" s="13" t="s">
        <v>294</v>
      </c>
      <c r="B20" s="13" t="s">
        <v>37</v>
      </c>
      <c r="C20" s="13" t="s">
        <v>295</v>
      </c>
      <c r="D20" s="13" t="s">
        <v>20</v>
      </c>
      <c r="E20" s="13"/>
      <c r="F20" s="13"/>
      <c r="G20" s="13" t="s">
        <v>248</v>
      </c>
      <c r="H20" s="13"/>
      <c r="I20" s="13" t="s">
        <v>235</v>
      </c>
      <c r="J20" s="13" t="s">
        <v>296</v>
      </c>
      <c r="K20" s="13"/>
    </row>
    <row r="21" customFormat="false" ht="15" hidden="false" customHeight="false" outlineLevel="0" collapsed="false">
      <c r="A21" s="13" t="s">
        <v>297</v>
      </c>
      <c r="B21" s="13" t="s">
        <v>37</v>
      </c>
      <c r="C21" s="13" t="s">
        <v>298</v>
      </c>
      <c r="D21" s="13" t="s">
        <v>22</v>
      </c>
      <c r="E21" s="13" t="s">
        <v>299</v>
      </c>
      <c r="F21" s="13"/>
      <c r="G21" s="13" t="s">
        <v>300</v>
      </c>
      <c r="H21" s="13"/>
      <c r="I21" s="13" t="s">
        <v>235</v>
      </c>
      <c r="J21" s="13" t="s">
        <v>301</v>
      </c>
      <c r="K21" s="13"/>
    </row>
    <row r="22" customFormat="false" ht="15" hidden="false" customHeight="false" outlineLevel="0" collapsed="false">
      <c r="A22" s="14" t="s">
        <v>302</v>
      </c>
      <c r="B22" s="14" t="s">
        <v>37</v>
      </c>
      <c r="C22" s="14" t="s">
        <v>303</v>
      </c>
      <c r="D22" s="14" t="s">
        <v>24</v>
      </c>
      <c r="E22" s="14" t="s">
        <v>304</v>
      </c>
      <c r="F22" s="14"/>
      <c r="G22" s="14"/>
      <c r="H22" s="14"/>
      <c r="I22" s="14" t="s">
        <v>115</v>
      </c>
      <c r="J22" s="14" t="s">
        <v>305</v>
      </c>
      <c r="K22" s="14" t="s">
        <v>306</v>
      </c>
    </row>
    <row r="23" customFormat="false" ht="23.85" hidden="false" customHeight="false" outlineLevel="0" collapsed="false">
      <c r="A23" s="13" t="s">
        <v>307</v>
      </c>
      <c r="B23" s="13" t="s">
        <v>37</v>
      </c>
      <c r="C23" s="13" t="s">
        <v>308</v>
      </c>
      <c r="D23" s="13" t="s">
        <v>22</v>
      </c>
      <c r="E23" s="13" t="s">
        <v>251</v>
      </c>
      <c r="F23" s="13" t="s">
        <v>252</v>
      </c>
      <c r="G23" s="13" t="s">
        <v>309</v>
      </c>
      <c r="H23" s="13"/>
      <c r="I23" s="13" t="s">
        <v>217</v>
      </c>
      <c r="J23" s="13" t="s">
        <v>310</v>
      </c>
      <c r="K23" s="13"/>
    </row>
    <row r="24" customFormat="false" ht="15" hidden="false" customHeight="false" outlineLevel="0" collapsed="false">
      <c r="A24" s="14" t="s">
        <v>311</v>
      </c>
      <c r="B24" s="14" t="s">
        <v>37</v>
      </c>
      <c r="C24" s="14" t="s">
        <v>312</v>
      </c>
      <c r="D24" s="14" t="s">
        <v>24</v>
      </c>
      <c r="E24" s="14"/>
      <c r="F24" s="14"/>
      <c r="G24" s="14" t="s">
        <v>234</v>
      </c>
      <c r="H24" s="14"/>
      <c r="I24" s="14" t="s">
        <v>217</v>
      </c>
      <c r="J24" s="14" t="s">
        <v>313</v>
      </c>
      <c r="K24" s="14" t="s">
        <v>314</v>
      </c>
    </row>
    <row r="25" customFormat="false" ht="23.85" hidden="false" customHeight="false" outlineLevel="0" collapsed="false">
      <c r="A25" s="14" t="s">
        <v>315</v>
      </c>
      <c r="B25" s="14" t="s">
        <v>37</v>
      </c>
      <c r="C25" s="14" t="s">
        <v>316</v>
      </c>
      <c r="D25" s="14" t="s">
        <v>24</v>
      </c>
      <c r="E25" s="14"/>
      <c r="F25" s="14"/>
      <c r="G25" s="14"/>
      <c r="H25" s="14"/>
      <c r="I25" s="14" t="s">
        <v>235</v>
      </c>
      <c r="J25" s="14" t="s">
        <v>313</v>
      </c>
      <c r="K25" s="14" t="s">
        <v>317</v>
      </c>
    </row>
    <row r="26" customFormat="false" ht="15" hidden="false" customHeight="false" outlineLevel="0" collapsed="false">
      <c r="A26" s="14" t="s">
        <v>318</v>
      </c>
      <c r="B26" s="14" t="s">
        <v>37</v>
      </c>
      <c r="C26" s="14" t="s">
        <v>319</v>
      </c>
      <c r="D26" s="14" t="s">
        <v>24</v>
      </c>
      <c r="E26" s="14"/>
      <c r="F26" s="14"/>
      <c r="G26" s="14"/>
      <c r="H26" s="14"/>
      <c r="I26" s="14" t="s">
        <v>235</v>
      </c>
      <c r="J26" s="14" t="s">
        <v>313</v>
      </c>
      <c r="K26" s="14"/>
    </row>
    <row r="27" customFormat="false" ht="15" hidden="false" customHeight="false" outlineLevel="0" collapsed="false">
      <c r="A27" s="13" t="s">
        <v>320</v>
      </c>
      <c r="B27" s="13" t="s">
        <v>38</v>
      </c>
      <c r="C27" s="13" t="s">
        <v>312</v>
      </c>
      <c r="D27" s="13" t="s">
        <v>20</v>
      </c>
      <c r="E27" s="13"/>
      <c r="F27" s="13"/>
      <c r="G27" s="13" t="s">
        <v>234</v>
      </c>
      <c r="H27" s="13"/>
      <c r="I27" s="13" t="s">
        <v>217</v>
      </c>
      <c r="J27" s="13" t="s">
        <v>321</v>
      </c>
      <c r="K27" s="13"/>
    </row>
    <row r="28" customFormat="false" ht="23.85" hidden="false" customHeight="false" outlineLevel="0" collapsed="false">
      <c r="A28" s="13" t="s">
        <v>322</v>
      </c>
      <c r="B28" s="13" t="s">
        <v>38</v>
      </c>
      <c r="C28" s="13" t="s">
        <v>323</v>
      </c>
      <c r="D28" s="13" t="s">
        <v>20</v>
      </c>
      <c r="E28" s="13"/>
      <c r="F28" s="13"/>
      <c r="G28" s="13" t="s">
        <v>240</v>
      </c>
      <c r="H28" s="13"/>
      <c r="I28" s="13" t="s">
        <v>235</v>
      </c>
      <c r="J28" s="13" t="s">
        <v>321</v>
      </c>
      <c r="K28" s="13"/>
    </row>
    <row r="29" customFormat="false" ht="23.85" hidden="false" customHeight="false" outlineLevel="0" collapsed="false">
      <c r="A29" s="14" t="s">
        <v>324</v>
      </c>
      <c r="B29" s="14" t="s">
        <v>38</v>
      </c>
      <c r="C29" s="14" t="s">
        <v>316</v>
      </c>
      <c r="D29" s="14" t="s">
        <v>24</v>
      </c>
      <c r="E29" s="14"/>
      <c r="F29" s="14"/>
      <c r="G29" s="14" t="s">
        <v>258</v>
      </c>
      <c r="H29" s="14"/>
      <c r="I29" s="14" t="s">
        <v>235</v>
      </c>
      <c r="J29" s="14" t="s">
        <v>321</v>
      </c>
      <c r="K29" s="14" t="s">
        <v>325</v>
      </c>
    </row>
    <row r="30" customFormat="false" ht="35.05" hidden="false" customHeight="false" outlineLevel="0" collapsed="false">
      <c r="A30" s="13" t="s">
        <v>326</v>
      </c>
      <c r="B30" s="13" t="s">
        <v>38</v>
      </c>
      <c r="C30" s="13" t="s">
        <v>327</v>
      </c>
      <c r="D30" s="13" t="s">
        <v>22</v>
      </c>
      <c r="E30" s="13" t="s">
        <v>328</v>
      </c>
      <c r="F30" s="13"/>
      <c r="G30" s="13" t="s">
        <v>221</v>
      </c>
      <c r="H30" s="13" t="s">
        <v>329</v>
      </c>
      <c r="I30" s="13" t="s">
        <v>235</v>
      </c>
      <c r="J30" s="13" t="s">
        <v>330</v>
      </c>
      <c r="K30" s="13"/>
    </row>
    <row r="31" customFormat="false" ht="35.05" hidden="false" customHeight="false" outlineLevel="0" collapsed="false">
      <c r="A31" s="13" t="s">
        <v>331</v>
      </c>
      <c r="B31" s="13" t="s">
        <v>38</v>
      </c>
      <c r="C31" s="13" t="s">
        <v>332</v>
      </c>
      <c r="D31" s="13" t="s">
        <v>20</v>
      </c>
      <c r="E31" s="13"/>
      <c r="F31" s="13"/>
      <c r="G31" s="13" t="s">
        <v>333</v>
      </c>
      <c r="H31" s="13" t="s">
        <v>329</v>
      </c>
      <c r="I31" s="13" t="s">
        <v>235</v>
      </c>
      <c r="J31" s="13" t="s">
        <v>330</v>
      </c>
      <c r="K31" s="13"/>
    </row>
    <row r="32" customFormat="false" ht="23.85" hidden="false" customHeight="false" outlineLevel="0" collapsed="false">
      <c r="A32" s="13" t="s">
        <v>334</v>
      </c>
      <c r="B32" s="13" t="s">
        <v>38</v>
      </c>
      <c r="C32" s="13" t="s">
        <v>335</v>
      </c>
      <c r="D32" s="13" t="s">
        <v>20</v>
      </c>
      <c r="E32" s="13"/>
      <c r="F32" s="13"/>
      <c r="G32" s="13" t="s">
        <v>248</v>
      </c>
      <c r="H32" s="13"/>
      <c r="I32" s="13" t="s">
        <v>235</v>
      </c>
      <c r="J32" s="13" t="s">
        <v>321</v>
      </c>
      <c r="K32" s="13"/>
    </row>
    <row r="33" customFormat="false" ht="35.05" hidden="false" customHeight="false" outlineLevel="0" collapsed="false">
      <c r="A33" s="13" t="s">
        <v>336</v>
      </c>
      <c r="B33" s="13" t="s">
        <v>38</v>
      </c>
      <c r="C33" s="13" t="s">
        <v>337</v>
      </c>
      <c r="D33" s="13" t="s">
        <v>20</v>
      </c>
      <c r="E33" s="13" t="s">
        <v>338</v>
      </c>
      <c r="F33" s="13" t="s">
        <v>339</v>
      </c>
      <c r="G33" s="13" t="s">
        <v>340</v>
      </c>
      <c r="H33" s="13" t="s">
        <v>329</v>
      </c>
      <c r="I33" s="13" t="s">
        <v>235</v>
      </c>
      <c r="J33" s="13" t="s">
        <v>341</v>
      </c>
      <c r="K33" s="13"/>
    </row>
    <row r="34" customFormat="false" ht="23.85" hidden="false" customHeight="false" outlineLevel="0" collapsed="false">
      <c r="A34" s="13" t="s">
        <v>342</v>
      </c>
      <c r="B34" s="13" t="s">
        <v>38</v>
      </c>
      <c r="C34" s="13" t="s">
        <v>343</v>
      </c>
      <c r="D34" s="13" t="s">
        <v>20</v>
      </c>
      <c r="E34" s="13"/>
      <c r="F34" s="13"/>
      <c r="G34" s="13" t="s">
        <v>344</v>
      </c>
      <c r="H34" s="13"/>
      <c r="I34" s="13" t="s">
        <v>235</v>
      </c>
      <c r="J34" s="13" t="s">
        <v>321</v>
      </c>
      <c r="K34" s="13"/>
    </row>
    <row r="35" customFormat="false" ht="15" hidden="false" customHeight="false" outlineLevel="0" collapsed="false">
      <c r="A35" s="13" t="s">
        <v>345</v>
      </c>
      <c r="B35" s="13" t="s">
        <v>38</v>
      </c>
      <c r="C35" s="13" t="s">
        <v>346</v>
      </c>
      <c r="D35" s="13" t="s">
        <v>20</v>
      </c>
      <c r="E35" s="13"/>
      <c r="F35" s="13"/>
      <c r="G35" s="13" t="s">
        <v>347</v>
      </c>
      <c r="H35" s="13"/>
      <c r="I35" s="13" t="s">
        <v>235</v>
      </c>
      <c r="J35" s="13" t="s">
        <v>321</v>
      </c>
      <c r="K35" s="13"/>
    </row>
    <row r="36" customFormat="false" ht="15" hidden="false" customHeight="false" outlineLevel="0" collapsed="false">
      <c r="A36" s="13" t="s">
        <v>348</v>
      </c>
      <c r="B36" s="13" t="s">
        <v>38</v>
      </c>
      <c r="C36" s="13" t="s">
        <v>349</v>
      </c>
      <c r="D36" s="13" t="s">
        <v>22</v>
      </c>
      <c r="E36" s="13" t="s">
        <v>350</v>
      </c>
      <c r="F36" s="13"/>
      <c r="G36" s="13"/>
      <c r="H36" s="13"/>
      <c r="I36" s="13" t="s">
        <v>235</v>
      </c>
      <c r="J36" s="13" t="s">
        <v>321</v>
      </c>
      <c r="K36" s="13"/>
    </row>
    <row r="37" customFormat="false" ht="23.85" hidden="false" customHeight="false" outlineLevel="0" collapsed="false">
      <c r="A37" s="13" t="s">
        <v>351</v>
      </c>
      <c r="B37" s="13" t="s">
        <v>38</v>
      </c>
      <c r="C37" s="13" t="s">
        <v>308</v>
      </c>
      <c r="D37" s="13" t="s">
        <v>22</v>
      </c>
      <c r="E37" s="13" t="s">
        <v>251</v>
      </c>
      <c r="F37" s="13" t="s">
        <v>252</v>
      </c>
      <c r="G37" s="13" t="s">
        <v>352</v>
      </c>
      <c r="H37" s="13"/>
      <c r="I37" s="13" t="s">
        <v>217</v>
      </c>
      <c r="J37" s="13" t="s">
        <v>330</v>
      </c>
      <c r="K37" s="13"/>
    </row>
    <row r="38" customFormat="false" ht="23.85" hidden="false" customHeight="false" outlineLevel="0" collapsed="false">
      <c r="A38" s="13" t="s">
        <v>353</v>
      </c>
      <c r="B38" s="13" t="s">
        <v>39</v>
      </c>
      <c r="C38" s="13" t="s">
        <v>354</v>
      </c>
      <c r="D38" s="13" t="s">
        <v>20</v>
      </c>
      <c r="E38" s="13"/>
      <c r="F38" s="13" t="s">
        <v>252</v>
      </c>
      <c r="G38" s="13" t="s">
        <v>355</v>
      </c>
      <c r="H38" s="13"/>
      <c r="I38" s="13" t="s">
        <v>217</v>
      </c>
      <c r="J38" s="13" t="s">
        <v>356</v>
      </c>
      <c r="K38" s="13"/>
    </row>
    <row r="39" customFormat="false" ht="23.85" hidden="false" customHeight="false" outlineLevel="0" collapsed="false">
      <c r="A39" s="13" t="s">
        <v>357</v>
      </c>
      <c r="B39" s="13" t="s">
        <v>39</v>
      </c>
      <c r="C39" s="13" t="s">
        <v>358</v>
      </c>
      <c r="D39" s="13" t="s">
        <v>20</v>
      </c>
      <c r="E39" s="13"/>
      <c r="F39" s="13" t="s">
        <v>359</v>
      </c>
      <c r="G39" s="13" t="s">
        <v>240</v>
      </c>
      <c r="H39" s="13"/>
      <c r="I39" s="13" t="s">
        <v>235</v>
      </c>
      <c r="J39" s="13" t="s">
        <v>195</v>
      </c>
      <c r="K39" s="13"/>
    </row>
    <row r="40" customFormat="false" ht="15" hidden="false" customHeight="false" outlineLevel="0" collapsed="false">
      <c r="A40" s="14" t="s">
        <v>360</v>
      </c>
      <c r="B40" s="14" t="s">
        <v>39</v>
      </c>
      <c r="C40" s="14" t="s">
        <v>361</v>
      </c>
      <c r="D40" s="14" t="s">
        <v>24</v>
      </c>
      <c r="E40" s="14"/>
      <c r="F40" s="14"/>
      <c r="G40" s="14"/>
      <c r="H40" s="14"/>
      <c r="I40" s="14" t="s">
        <v>235</v>
      </c>
      <c r="J40" s="14" t="s">
        <v>362</v>
      </c>
      <c r="K40" s="14" t="s">
        <v>363</v>
      </c>
    </row>
    <row r="41" customFormat="false" ht="15" hidden="false" customHeight="false" outlineLevel="0" collapsed="false">
      <c r="A41" s="13" t="s">
        <v>364</v>
      </c>
      <c r="B41" s="13" t="s">
        <v>40</v>
      </c>
      <c r="C41" s="13" t="s">
        <v>365</v>
      </c>
      <c r="D41" s="13" t="s">
        <v>20</v>
      </c>
      <c r="E41" s="13"/>
      <c r="F41" s="13"/>
      <c r="G41" s="13" t="s">
        <v>366</v>
      </c>
      <c r="H41" s="13"/>
      <c r="I41" s="13" t="s">
        <v>367</v>
      </c>
      <c r="J41" s="13" t="s">
        <v>368</v>
      </c>
      <c r="K41" s="13"/>
    </row>
    <row r="42" customFormat="false" ht="15" hidden="false" customHeight="false" outlineLevel="0" collapsed="false">
      <c r="A42" s="13" t="s">
        <v>369</v>
      </c>
      <c r="B42" s="13" t="s">
        <v>40</v>
      </c>
      <c r="C42" s="13" t="s">
        <v>370</v>
      </c>
      <c r="D42" s="13" t="s">
        <v>20</v>
      </c>
      <c r="E42" s="13"/>
      <c r="F42" s="13"/>
      <c r="G42" s="13" t="s">
        <v>371</v>
      </c>
      <c r="H42" s="13"/>
      <c r="I42" s="13" t="s">
        <v>235</v>
      </c>
      <c r="J42" s="13" t="s">
        <v>185</v>
      </c>
      <c r="K42" s="13"/>
    </row>
    <row r="43" customFormat="false" ht="23.85" hidden="false" customHeight="false" outlineLevel="0" collapsed="false">
      <c r="A43" s="13" t="s">
        <v>372</v>
      </c>
      <c r="B43" s="13" t="s">
        <v>40</v>
      </c>
      <c r="C43" s="13" t="s">
        <v>373</v>
      </c>
      <c r="D43" s="13" t="s">
        <v>20</v>
      </c>
      <c r="E43" s="13"/>
      <c r="F43" s="13"/>
      <c r="G43" s="13" t="s">
        <v>374</v>
      </c>
      <c r="H43" s="13"/>
      <c r="I43" s="13" t="s">
        <v>235</v>
      </c>
      <c r="J43" s="13" t="s">
        <v>375</v>
      </c>
      <c r="K43" s="13"/>
    </row>
    <row r="44" customFormat="false" ht="15" hidden="false" customHeight="false" outlineLevel="0" collapsed="false">
      <c r="A44" s="13" t="s">
        <v>376</v>
      </c>
      <c r="B44" s="13" t="s">
        <v>40</v>
      </c>
      <c r="C44" s="13" t="s">
        <v>377</v>
      </c>
      <c r="D44" s="13" t="s">
        <v>22</v>
      </c>
      <c r="E44" s="13" t="s">
        <v>378</v>
      </c>
      <c r="F44" s="13"/>
      <c r="G44" s="13"/>
      <c r="H44" s="13"/>
      <c r="I44" s="13" t="s">
        <v>235</v>
      </c>
      <c r="J44" s="13" t="s">
        <v>368</v>
      </c>
      <c r="K44" s="13" t="s">
        <v>379</v>
      </c>
    </row>
    <row r="45" customFormat="false" ht="15" hidden="false" customHeight="false" outlineLevel="0" collapsed="false">
      <c r="A45" s="13" t="s">
        <v>380</v>
      </c>
      <c r="B45" s="13" t="s">
        <v>41</v>
      </c>
      <c r="C45" s="13" t="s">
        <v>381</v>
      </c>
      <c r="D45" s="13" t="s">
        <v>20</v>
      </c>
      <c r="E45" s="13"/>
      <c r="F45" s="13"/>
      <c r="G45" s="13" t="s">
        <v>234</v>
      </c>
      <c r="H45" s="13"/>
      <c r="I45" s="13" t="s">
        <v>235</v>
      </c>
      <c r="J45" s="13" t="s">
        <v>191</v>
      </c>
      <c r="K45" s="13"/>
    </row>
    <row r="46" customFormat="false" ht="15" hidden="false" customHeight="false" outlineLevel="0" collapsed="false">
      <c r="A46" s="13" t="s">
        <v>382</v>
      </c>
      <c r="B46" s="13" t="s">
        <v>41</v>
      </c>
      <c r="C46" s="13" t="s">
        <v>383</v>
      </c>
      <c r="D46" s="13" t="s">
        <v>20</v>
      </c>
      <c r="E46" s="13"/>
      <c r="F46" s="13"/>
      <c r="G46" s="13" t="s">
        <v>384</v>
      </c>
      <c r="H46" s="13"/>
      <c r="I46" s="13" t="s">
        <v>235</v>
      </c>
      <c r="J46" s="13" t="s">
        <v>191</v>
      </c>
      <c r="K46" s="13"/>
    </row>
    <row r="47" customFormat="false" ht="15" hidden="false" customHeight="false" outlineLevel="0" collapsed="false">
      <c r="A47" s="13" t="s">
        <v>385</v>
      </c>
      <c r="B47" s="13" t="s">
        <v>41</v>
      </c>
      <c r="C47" s="13" t="s">
        <v>386</v>
      </c>
      <c r="D47" s="13" t="s">
        <v>22</v>
      </c>
      <c r="E47" s="13" t="s">
        <v>387</v>
      </c>
      <c r="F47" s="13"/>
      <c r="G47" s="13"/>
      <c r="H47" s="13"/>
      <c r="I47" s="13" t="s">
        <v>235</v>
      </c>
      <c r="J47" s="13" t="s">
        <v>191</v>
      </c>
      <c r="K47" s="13"/>
    </row>
    <row r="48" customFormat="false" ht="23.85" hidden="false" customHeight="false" outlineLevel="0" collapsed="false">
      <c r="A48" s="13" t="s">
        <v>388</v>
      </c>
      <c r="B48" s="13" t="s">
        <v>41</v>
      </c>
      <c r="C48" s="13" t="s">
        <v>256</v>
      </c>
      <c r="D48" s="13" t="s">
        <v>22</v>
      </c>
      <c r="E48" s="13" t="s">
        <v>257</v>
      </c>
      <c r="F48" s="13"/>
      <c r="G48" s="13"/>
      <c r="H48" s="13"/>
      <c r="I48" s="13" t="s">
        <v>235</v>
      </c>
      <c r="J48" s="13" t="s">
        <v>191</v>
      </c>
      <c r="K48" s="13"/>
    </row>
    <row r="49" customFormat="false" ht="15" hidden="false" customHeight="false" outlineLevel="0" collapsed="false">
      <c r="A49" s="13" t="s">
        <v>389</v>
      </c>
      <c r="B49" s="13" t="s">
        <v>42</v>
      </c>
      <c r="C49" s="13" t="s">
        <v>390</v>
      </c>
      <c r="D49" s="13" t="s">
        <v>20</v>
      </c>
      <c r="E49" s="13"/>
      <c r="F49" s="13"/>
      <c r="G49" s="13" t="s">
        <v>234</v>
      </c>
      <c r="H49" s="13"/>
      <c r="I49" s="13" t="s">
        <v>391</v>
      </c>
      <c r="J49" s="13" t="s">
        <v>195</v>
      </c>
      <c r="K49" s="13"/>
    </row>
    <row r="50" customFormat="false" ht="23.85" hidden="false" customHeight="false" outlineLevel="0" collapsed="false">
      <c r="A50" s="13" t="s">
        <v>392</v>
      </c>
      <c r="B50" s="13" t="s">
        <v>42</v>
      </c>
      <c r="C50" s="13" t="s">
        <v>393</v>
      </c>
      <c r="D50" s="13" t="s">
        <v>20</v>
      </c>
      <c r="E50" s="13"/>
      <c r="F50" s="13" t="s">
        <v>394</v>
      </c>
      <c r="G50" s="13"/>
      <c r="H50" s="13"/>
      <c r="I50" s="13" t="s">
        <v>391</v>
      </c>
      <c r="J50" s="13" t="s">
        <v>195</v>
      </c>
      <c r="K50" s="13"/>
    </row>
    <row r="51" customFormat="false" ht="23.85" hidden="false" customHeight="false" outlineLevel="0" collapsed="false">
      <c r="A51" s="13" t="s">
        <v>395</v>
      </c>
      <c r="B51" s="13" t="s">
        <v>43</v>
      </c>
      <c r="C51" s="13" t="s">
        <v>396</v>
      </c>
      <c r="D51" s="13" t="s">
        <v>22</v>
      </c>
      <c r="E51" s="13" t="s">
        <v>397</v>
      </c>
      <c r="F51" s="13"/>
      <c r="G51" s="13" t="s">
        <v>398</v>
      </c>
      <c r="H51" s="13"/>
      <c r="I51" s="13" t="s">
        <v>115</v>
      </c>
      <c r="J51" s="13" t="s">
        <v>195</v>
      </c>
      <c r="K51" s="13"/>
    </row>
    <row r="52" customFormat="false" ht="15" hidden="false" customHeight="false" outlineLevel="0" collapsed="false">
      <c r="A52" s="14" t="s">
        <v>399</v>
      </c>
      <c r="B52" s="14" t="s">
        <v>43</v>
      </c>
      <c r="C52" s="14" t="s">
        <v>400</v>
      </c>
      <c r="D52" s="14" t="s">
        <v>24</v>
      </c>
      <c r="E52" s="14" t="s">
        <v>401</v>
      </c>
      <c r="F52" s="14"/>
      <c r="G52" s="14"/>
      <c r="H52" s="14"/>
      <c r="I52" s="14" t="s">
        <v>115</v>
      </c>
      <c r="J52" s="14" t="s">
        <v>115</v>
      </c>
      <c r="K52" s="14"/>
    </row>
    <row r="53" customFormat="false" ht="15" hidden="false" customHeight="false" outlineLevel="0" collapsed="false">
      <c r="A53" s="14" t="s">
        <v>402</v>
      </c>
      <c r="B53" s="14" t="s">
        <v>43</v>
      </c>
      <c r="C53" s="14" t="s">
        <v>403</v>
      </c>
      <c r="D53" s="14" t="s">
        <v>24</v>
      </c>
      <c r="E53" s="14" t="s">
        <v>401</v>
      </c>
      <c r="F53" s="14"/>
      <c r="G53" s="14"/>
      <c r="H53" s="14"/>
      <c r="I53" s="14" t="s">
        <v>115</v>
      </c>
      <c r="J53" s="14" t="s">
        <v>115</v>
      </c>
      <c r="K53" s="14"/>
    </row>
    <row r="54" customFormat="false" ht="15" hidden="false" customHeight="false" outlineLevel="0" collapsed="false">
      <c r="A54" s="14" t="s">
        <v>404</v>
      </c>
      <c r="B54" s="14" t="s">
        <v>43</v>
      </c>
      <c r="C54" s="14" t="s">
        <v>405</v>
      </c>
      <c r="D54" s="14" t="s">
        <v>24</v>
      </c>
      <c r="E54" s="14" t="s">
        <v>401</v>
      </c>
      <c r="F54" s="14"/>
      <c r="G54" s="14" t="s">
        <v>406</v>
      </c>
      <c r="H54" s="14"/>
      <c r="I54" s="14" t="s">
        <v>115</v>
      </c>
      <c r="J54" s="14" t="s">
        <v>115</v>
      </c>
      <c r="K54" s="14"/>
    </row>
    <row r="55" customFormat="false" ht="15" hidden="false" customHeight="false" outlineLevel="0" collapsed="false">
      <c r="A55" s="13" t="s">
        <v>407</v>
      </c>
      <c r="B55" s="13" t="s">
        <v>43</v>
      </c>
      <c r="C55" s="13" t="s">
        <v>408</v>
      </c>
      <c r="D55" s="13" t="s">
        <v>22</v>
      </c>
      <c r="E55" s="13" t="s">
        <v>409</v>
      </c>
      <c r="F55" s="13"/>
      <c r="G55" s="13" t="s">
        <v>410</v>
      </c>
      <c r="H55" s="13"/>
      <c r="I55" s="13" t="s">
        <v>115</v>
      </c>
      <c r="J55" s="13" t="s">
        <v>411</v>
      </c>
      <c r="K55" s="13" t="s">
        <v>412</v>
      </c>
    </row>
  </sheetData>
  <autoFilter ref="A1:K55"/>
  <dataValidations count="2">
    <dataValidation allowBlank="false" errorStyle="stop" operator="between" showDropDown="false" showErrorMessage="false" showInputMessage="false" sqref="D2:D254" type="list">
      <formula1>"Obrigatório,Condicional,A confirmar,Não exigido"</formula1>
      <formula2>0</formula2>
    </dataValidation>
    <dataValidation allowBlank="false" errorStyle="stop" operator="between" showDropDown="false" showErrorMessage="false" showInputMessage="false" sqref="B2:B254" type="list">
      <formula1>Procedimentos!$A$2:$A$10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8" t="s">
        <v>117</v>
      </c>
      <c r="B1" s="8" t="s">
        <v>413</v>
      </c>
      <c r="C1" s="8" t="s">
        <v>414</v>
      </c>
      <c r="D1" s="8" t="s">
        <v>415</v>
      </c>
      <c r="E1" s="8" t="s">
        <v>416</v>
      </c>
      <c r="F1" s="8" t="s">
        <v>123</v>
      </c>
      <c r="G1" s="8" t="s">
        <v>213</v>
      </c>
    </row>
    <row r="2" customFormat="false" ht="23.85" hidden="false" customHeight="false" outlineLevel="0" collapsed="false">
      <c r="A2" s="13" t="s">
        <v>35</v>
      </c>
      <c r="B2" s="13" t="n">
        <v>1</v>
      </c>
      <c r="C2" s="13" t="s">
        <v>417</v>
      </c>
      <c r="D2" s="13" t="s">
        <v>418</v>
      </c>
      <c r="E2" s="13" t="s">
        <v>115</v>
      </c>
      <c r="F2" s="13" t="s">
        <v>419</v>
      </c>
      <c r="G2" s="13" t="s">
        <v>137</v>
      </c>
    </row>
    <row r="3" customFormat="false" ht="15" hidden="false" customHeight="false" outlineLevel="0" collapsed="false">
      <c r="A3" s="13" t="s">
        <v>35</v>
      </c>
      <c r="B3" s="13" t="n">
        <v>2</v>
      </c>
      <c r="C3" s="13" t="s">
        <v>420</v>
      </c>
      <c r="D3" s="13" t="s">
        <v>115</v>
      </c>
      <c r="E3" s="13" t="s">
        <v>421</v>
      </c>
      <c r="F3" s="13" t="s">
        <v>115</v>
      </c>
      <c r="G3" s="13" t="s">
        <v>137</v>
      </c>
    </row>
    <row r="4" customFormat="false" ht="15" hidden="false" customHeight="false" outlineLevel="0" collapsed="false">
      <c r="A4" s="13" t="s">
        <v>35</v>
      </c>
      <c r="B4" s="13" t="n">
        <v>3</v>
      </c>
      <c r="C4" s="13" t="s">
        <v>422</v>
      </c>
      <c r="D4" s="13" t="s">
        <v>115</v>
      </c>
      <c r="E4" s="13" t="s">
        <v>115</v>
      </c>
      <c r="F4" s="13" t="s">
        <v>115</v>
      </c>
      <c r="G4" s="13" t="s">
        <v>137</v>
      </c>
    </row>
    <row r="5" customFormat="false" ht="23.85" hidden="false" customHeight="false" outlineLevel="0" collapsed="false">
      <c r="A5" s="13" t="s">
        <v>36</v>
      </c>
      <c r="B5" s="13" t="n">
        <v>1</v>
      </c>
      <c r="C5" s="13" t="s">
        <v>423</v>
      </c>
      <c r="D5" s="13" t="s">
        <v>424</v>
      </c>
      <c r="E5" s="13" t="s">
        <v>425</v>
      </c>
      <c r="F5" s="13" t="s">
        <v>426</v>
      </c>
      <c r="G5" s="13" t="s">
        <v>427</v>
      </c>
    </row>
    <row r="6" customFormat="false" ht="15" hidden="false" customHeight="false" outlineLevel="0" collapsed="false">
      <c r="A6" s="13" t="s">
        <v>36</v>
      </c>
      <c r="B6" s="13" t="n">
        <v>2</v>
      </c>
      <c r="C6" s="13" t="s">
        <v>428</v>
      </c>
      <c r="D6" s="13" t="s">
        <v>429</v>
      </c>
      <c r="E6" s="13" t="s">
        <v>425</v>
      </c>
      <c r="F6" s="13" t="s">
        <v>182</v>
      </c>
      <c r="G6" s="13" t="s">
        <v>430</v>
      </c>
    </row>
    <row r="7" customFormat="false" ht="15" hidden="false" customHeight="false" outlineLevel="0" collapsed="false">
      <c r="A7" s="13" t="s">
        <v>36</v>
      </c>
      <c r="B7" s="13" t="n">
        <v>3</v>
      </c>
      <c r="C7" s="13" t="s">
        <v>431</v>
      </c>
      <c r="D7" s="13" t="s">
        <v>115</v>
      </c>
      <c r="E7" s="13" t="s">
        <v>432</v>
      </c>
      <c r="F7" s="13" t="s">
        <v>182</v>
      </c>
      <c r="G7" s="13" t="s">
        <v>433</v>
      </c>
    </row>
    <row r="8" customFormat="false" ht="23.85" hidden="false" customHeight="false" outlineLevel="0" collapsed="false">
      <c r="A8" s="13" t="s">
        <v>36</v>
      </c>
      <c r="B8" s="13" t="n">
        <v>4</v>
      </c>
      <c r="C8" s="13" t="s">
        <v>434</v>
      </c>
      <c r="D8" s="13" t="s">
        <v>435</v>
      </c>
      <c r="E8" s="13" t="s">
        <v>436</v>
      </c>
      <c r="F8" s="13" t="s">
        <v>182</v>
      </c>
      <c r="G8" s="13" t="s">
        <v>437</v>
      </c>
    </row>
    <row r="9" customFormat="false" ht="15" hidden="false" customHeight="false" outlineLevel="0" collapsed="false">
      <c r="A9" s="13" t="s">
        <v>36</v>
      </c>
      <c r="B9" s="13" t="n">
        <v>5</v>
      </c>
      <c r="C9" s="13" t="s">
        <v>438</v>
      </c>
      <c r="D9" s="13" t="s">
        <v>115</v>
      </c>
      <c r="E9" s="13" t="s">
        <v>115</v>
      </c>
      <c r="F9" s="13" t="s">
        <v>182</v>
      </c>
      <c r="G9" s="13" t="s">
        <v>439</v>
      </c>
    </row>
    <row r="10" customFormat="false" ht="23.85" hidden="false" customHeight="false" outlineLevel="0" collapsed="false">
      <c r="A10" s="13" t="s">
        <v>37</v>
      </c>
      <c r="B10" s="13" t="n">
        <v>1</v>
      </c>
      <c r="C10" s="13" t="s">
        <v>440</v>
      </c>
      <c r="D10" s="13" t="s">
        <v>424</v>
      </c>
      <c r="E10" s="13" t="s">
        <v>425</v>
      </c>
      <c r="F10" s="13" t="s">
        <v>426</v>
      </c>
      <c r="G10" s="13" t="s">
        <v>441</v>
      </c>
    </row>
    <row r="11" customFormat="false" ht="15" hidden="false" customHeight="false" outlineLevel="0" collapsed="false">
      <c r="A11" s="13" t="s">
        <v>37</v>
      </c>
      <c r="B11" s="13" t="n">
        <v>2</v>
      </c>
      <c r="C11" s="13" t="s">
        <v>428</v>
      </c>
      <c r="D11" s="13" t="s">
        <v>429</v>
      </c>
      <c r="E11" s="13" t="s">
        <v>425</v>
      </c>
      <c r="F11" s="13" t="s">
        <v>182</v>
      </c>
      <c r="G11" s="13" t="s">
        <v>441</v>
      </c>
    </row>
    <row r="12" customFormat="false" ht="15" hidden="false" customHeight="false" outlineLevel="0" collapsed="false">
      <c r="A12" s="13" t="s">
        <v>37</v>
      </c>
      <c r="B12" s="13" t="n">
        <v>3</v>
      </c>
      <c r="C12" s="13" t="s">
        <v>442</v>
      </c>
      <c r="D12" s="13" t="s">
        <v>115</v>
      </c>
      <c r="E12" s="13" t="s">
        <v>432</v>
      </c>
      <c r="F12" s="13" t="s">
        <v>182</v>
      </c>
      <c r="G12" s="13" t="s">
        <v>441</v>
      </c>
    </row>
    <row r="13" customFormat="false" ht="15" hidden="false" customHeight="false" outlineLevel="0" collapsed="false">
      <c r="A13" s="13" t="s">
        <v>37</v>
      </c>
      <c r="B13" s="13" t="n">
        <v>4</v>
      </c>
      <c r="C13" s="13" t="s">
        <v>443</v>
      </c>
      <c r="D13" s="13" t="s">
        <v>115</v>
      </c>
      <c r="E13" s="13" t="s">
        <v>436</v>
      </c>
      <c r="F13" s="13" t="s">
        <v>182</v>
      </c>
      <c r="G13" s="13" t="s">
        <v>441</v>
      </c>
    </row>
    <row r="14" customFormat="false" ht="15" hidden="false" customHeight="false" outlineLevel="0" collapsed="false">
      <c r="A14" s="13" t="s">
        <v>37</v>
      </c>
      <c r="B14" s="13" t="n">
        <v>5</v>
      </c>
      <c r="C14" s="13" t="s">
        <v>444</v>
      </c>
      <c r="D14" s="13" t="s">
        <v>115</v>
      </c>
      <c r="E14" s="13" t="s">
        <v>115</v>
      </c>
      <c r="F14" s="13" t="s">
        <v>24</v>
      </c>
      <c r="G14" s="13" t="s">
        <v>445</v>
      </c>
    </row>
    <row r="15" customFormat="false" ht="23.85" hidden="false" customHeight="false" outlineLevel="0" collapsed="false">
      <c r="A15" s="13" t="s">
        <v>38</v>
      </c>
      <c r="B15" s="13" t="n">
        <v>1</v>
      </c>
      <c r="C15" s="13" t="s">
        <v>446</v>
      </c>
      <c r="D15" s="13" t="s">
        <v>424</v>
      </c>
      <c r="E15" s="13" t="s">
        <v>425</v>
      </c>
      <c r="F15" s="13" t="s">
        <v>447</v>
      </c>
      <c r="G15" s="13" t="s">
        <v>448</v>
      </c>
    </row>
    <row r="16" customFormat="false" ht="15" hidden="false" customHeight="false" outlineLevel="0" collapsed="false">
      <c r="A16" s="13" t="s">
        <v>38</v>
      </c>
      <c r="B16" s="13" t="n">
        <v>2</v>
      </c>
      <c r="C16" s="13" t="s">
        <v>428</v>
      </c>
      <c r="D16" s="13" t="s">
        <v>429</v>
      </c>
      <c r="E16" s="13" t="s">
        <v>425</v>
      </c>
      <c r="F16" s="13" t="s">
        <v>182</v>
      </c>
      <c r="G16" s="13" t="s">
        <v>441</v>
      </c>
    </row>
    <row r="17" customFormat="false" ht="15" hidden="false" customHeight="false" outlineLevel="0" collapsed="false">
      <c r="A17" s="13" t="s">
        <v>38</v>
      </c>
      <c r="B17" s="13" t="n">
        <v>3</v>
      </c>
      <c r="C17" s="13" t="s">
        <v>442</v>
      </c>
      <c r="D17" s="13" t="s">
        <v>115</v>
      </c>
      <c r="E17" s="13" t="s">
        <v>432</v>
      </c>
      <c r="F17" s="13" t="s">
        <v>182</v>
      </c>
      <c r="G17" s="13" t="s">
        <v>441</v>
      </c>
    </row>
    <row r="18" customFormat="false" ht="15" hidden="false" customHeight="false" outlineLevel="0" collapsed="false">
      <c r="A18" s="13" t="s">
        <v>38</v>
      </c>
      <c r="B18" s="13" t="n">
        <v>4</v>
      </c>
      <c r="C18" s="13" t="s">
        <v>443</v>
      </c>
      <c r="D18" s="13" t="s">
        <v>115</v>
      </c>
      <c r="E18" s="13" t="s">
        <v>436</v>
      </c>
      <c r="F18" s="13" t="s">
        <v>182</v>
      </c>
      <c r="G18" s="13" t="s">
        <v>441</v>
      </c>
    </row>
    <row r="19" customFormat="false" ht="23.85" hidden="false" customHeight="false" outlineLevel="0" collapsed="false">
      <c r="A19" s="13" t="s">
        <v>39</v>
      </c>
      <c r="B19" s="13" t="n">
        <v>1</v>
      </c>
      <c r="C19" s="13" t="s">
        <v>449</v>
      </c>
      <c r="D19" s="13" t="s">
        <v>450</v>
      </c>
      <c r="E19" s="13" t="s">
        <v>425</v>
      </c>
      <c r="F19" s="13" t="s">
        <v>451</v>
      </c>
      <c r="G19" s="13" t="s">
        <v>362</v>
      </c>
    </row>
    <row r="20" customFormat="false" ht="15" hidden="false" customHeight="false" outlineLevel="0" collapsed="false">
      <c r="A20" s="13" t="s">
        <v>39</v>
      </c>
      <c r="B20" s="13" t="n">
        <v>2</v>
      </c>
      <c r="C20" s="13" t="s">
        <v>452</v>
      </c>
      <c r="D20" s="13" t="s">
        <v>429</v>
      </c>
      <c r="E20" s="13" t="s">
        <v>425</v>
      </c>
      <c r="F20" s="13" t="s">
        <v>182</v>
      </c>
      <c r="G20" s="13" t="s">
        <v>362</v>
      </c>
    </row>
    <row r="21" customFormat="false" ht="15" hidden="false" customHeight="false" outlineLevel="0" collapsed="false">
      <c r="A21" s="13" t="s">
        <v>39</v>
      </c>
      <c r="B21" s="13" t="n">
        <v>3</v>
      </c>
      <c r="C21" s="13" t="s">
        <v>453</v>
      </c>
      <c r="D21" s="13" t="s">
        <v>115</v>
      </c>
      <c r="E21" s="13" t="s">
        <v>432</v>
      </c>
      <c r="F21" s="13" t="s">
        <v>182</v>
      </c>
      <c r="G21" s="13" t="s">
        <v>362</v>
      </c>
    </row>
    <row r="22" customFormat="false" ht="15" hidden="false" customHeight="false" outlineLevel="0" collapsed="false">
      <c r="A22" s="13" t="s">
        <v>39</v>
      </c>
      <c r="B22" s="13" t="n">
        <v>4</v>
      </c>
      <c r="C22" s="13" t="s">
        <v>454</v>
      </c>
      <c r="D22" s="13" t="s">
        <v>115</v>
      </c>
      <c r="E22" s="13" t="s">
        <v>436</v>
      </c>
      <c r="F22" s="13" t="s">
        <v>182</v>
      </c>
      <c r="G22" s="13" t="s">
        <v>362</v>
      </c>
    </row>
    <row r="23" customFormat="false" ht="23.85" hidden="false" customHeight="false" outlineLevel="0" collapsed="false">
      <c r="A23" s="13" t="s">
        <v>40</v>
      </c>
      <c r="B23" s="13" t="n">
        <v>1</v>
      </c>
      <c r="C23" s="13" t="s">
        <v>455</v>
      </c>
      <c r="D23" s="13" t="s">
        <v>456</v>
      </c>
      <c r="E23" s="13" t="s">
        <v>115</v>
      </c>
      <c r="F23" s="13" t="s">
        <v>182</v>
      </c>
      <c r="G23" s="13" t="s">
        <v>185</v>
      </c>
    </row>
    <row r="24" customFormat="false" ht="23.85" hidden="false" customHeight="false" outlineLevel="0" collapsed="false">
      <c r="A24" s="13" t="s">
        <v>40</v>
      </c>
      <c r="B24" s="13" t="n">
        <v>2</v>
      </c>
      <c r="C24" s="13" t="s">
        <v>457</v>
      </c>
      <c r="D24" s="13" t="s">
        <v>115</v>
      </c>
      <c r="E24" s="13" t="s">
        <v>115</v>
      </c>
      <c r="F24" s="13" t="s">
        <v>182</v>
      </c>
      <c r="G24" s="13" t="s">
        <v>375</v>
      </c>
    </row>
    <row r="25" customFormat="false" ht="23.85" hidden="false" customHeight="false" outlineLevel="0" collapsed="false">
      <c r="A25" s="13" t="s">
        <v>40</v>
      </c>
      <c r="B25" s="13" t="n">
        <v>3</v>
      </c>
      <c r="C25" s="13" t="s">
        <v>458</v>
      </c>
      <c r="D25" s="13" t="s">
        <v>429</v>
      </c>
      <c r="E25" s="13" t="s">
        <v>115</v>
      </c>
      <c r="F25" s="13" t="s">
        <v>182</v>
      </c>
      <c r="G25" s="13" t="s">
        <v>375</v>
      </c>
    </row>
    <row r="26" customFormat="false" ht="23.85" hidden="false" customHeight="false" outlineLevel="0" collapsed="false">
      <c r="A26" s="13" t="s">
        <v>40</v>
      </c>
      <c r="B26" s="13" t="n">
        <v>4</v>
      </c>
      <c r="C26" s="13" t="s">
        <v>459</v>
      </c>
      <c r="D26" s="13" t="s">
        <v>115</v>
      </c>
      <c r="E26" s="13" t="s">
        <v>460</v>
      </c>
      <c r="F26" s="13" t="s">
        <v>182</v>
      </c>
      <c r="G26" s="13" t="s">
        <v>185</v>
      </c>
    </row>
    <row r="27" customFormat="false" ht="15" hidden="false" customHeight="false" outlineLevel="0" collapsed="false">
      <c r="A27" s="13" t="s">
        <v>40</v>
      </c>
      <c r="B27" s="13" t="n">
        <v>5</v>
      </c>
      <c r="C27" s="13" t="s">
        <v>461</v>
      </c>
      <c r="D27" s="13" t="s">
        <v>115</v>
      </c>
      <c r="E27" s="13" t="s">
        <v>115</v>
      </c>
      <c r="F27" s="13" t="s">
        <v>182</v>
      </c>
      <c r="G27" s="13" t="s">
        <v>368</v>
      </c>
    </row>
    <row r="28" customFormat="false" ht="23.85" hidden="false" customHeight="false" outlineLevel="0" collapsed="false">
      <c r="A28" s="13" t="s">
        <v>40</v>
      </c>
      <c r="B28" s="13" t="n">
        <v>6</v>
      </c>
      <c r="C28" s="13" t="s">
        <v>462</v>
      </c>
      <c r="D28" s="13" t="s">
        <v>115</v>
      </c>
      <c r="E28" s="13" t="s">
        <v>463</v>
      </c>
      <c r="F28" s="13" t="s">
        <v>182</v>
      </c>
      <c r="G28" s="13" t="s">
        <v>185</v>
      </c>
    </row>
    <row r="29" customFormat="false" ht="15" hidden="false" customHeight="false" outlineLevel="0" collapsed="false">
      <c r="A29" s="13" t="s">
        <v>41</v>
      </c>
      <c r="B29" s="13" t="n">
        <v>1</v>
      </c>
      <c r="C29" s="13" t="s">
        <v>464</v>
      </c>
      <c r="D29" s="13" t="s">
        <v>115</v>
      </c>
      <c r="E29" s="13" t="s">
        <v>465</v>
      </c>
      <c r="F29" s="13" t="s">
        <v>182</v>
      </c>
      <c r="G29" s="13" t="s">
        <v>191</v>
      </c>
    </row>
    <row r="30" customFormat="false" ht="15" hidden="false" customHeight="false" outlineLevel="0" collapsed="false">
      <c r="A30" s="13" t="s">
        <v>41</v>
      </c>
      <c r="B30" s="13" t="n">
        <v>2</v>
      </c>
      <c r="C30" s="13" t="s">
        <v>466</v>
      </c>
      <c r="D30" s="13" t="s">
        <v>115</v>
      </c>
      <c r="E30" s="13" t="s">
        <v>467</v>
      </c>
      <c r="F30" s="13" t="s">
        <v>182</v>
      </c>
      <c r="G30" s="13" t="s">
        <v>191</v>
      </c>
    </row>
    <row r="31" customFormat="false" ht="15" hidden="false" customHeight="false" outlineLevel="0" collapsed="false">
      <c r="A31" s="13" t="s">
        <v>42</v>
      </c>
      <c r="B31" s="13" t="n">
        <v>1</v>
      </c>
      <c r="C31" s="13" t="s">
        <v>468</v>
      </c>
      <c r="D31" s="13" t="s">
        <v>115</v>
      </c>
      <c r="E31" s="13" t="s">
        <v>115</v>
      </c>
      <c r="F31" s="13" t="s">
        <v>182</v>
      </c>
      <c r="G31" s="13" t="s">
        <v>195</v>
      </c>
    </row>
    <row r="32" customFormat="false" ht="15" hidden="false" customHeight="false" outlineLevel="0" collapsed="false">
      <c r="A32" s="13" t="s">
        <v>42</v>
      </c>
      <c r="B32" s="13" t="n">
        <v>2</v>
      </c>
      <c r="C32" s="13" t="s">
        <v>469</v>
      </c>
      <c r="D32" s="13" t="s">
        <v>115</v>
      </c>
      <c r="E32" s="13" t="s">
        <v>115</v>
      </c>
      <c r="F32" s="13" t="s">
        <v>182</v>
      </c>
      <c r="G32" s="13" t="s">
        <v>195</v>
      </c>
    </row>
  </sheetData>
  <autoFilter ref="A1:G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8" t="s">
        <v>470</v>
      </c>
      <c r="B1" s="8" t="s">
        <v>471</v>
      </c>
      <c r="C1" s="8" t="s">
        <v>472</v>
      </c>
      <c r="D1" s="8" t="s">
        <v>473</v>
      </c>
      <c r="E1" s="8" t="s">
        <v>474</v>
      </c>
      <c r="F1" s="8" t="s">
        <v>213</v>
      </c>
    </row>
    <row r="2" customFormat="false" ht="23.85" hidden="false" customHeight="false" outlineLevel="0" collapsed="false">
      <c r="A2" s="13" t="s">
        <v>475</v>
      </c>
      <c r="B2" s="13" t="s">
        <v>476</v>
      </c>
      <c r="C2" s="16" t="n">
        <v>168.13</v>
      </c>
      <c r="D2" s="13" t="s">
        <v>477</v>
      </c>
      <c r="E2" s="13" t="s">
        <v>478</v>
      </c>
      <c r="F2" s="13" t="s">
        <v>479</v>
      </c>
    </row>
    <row r="3" customFormat="false" ht="23.85" hidden="false" customHeight="false" outlineLevel="0" collapsed="false">
      <c r="A3" s="13" t="s">
        <v>480</v>
      </c>
      <c r="B3" s="13" t="s">
        <v>481</v>
      </c>
      <c r="C3" s="16" t="n">
        <v>204.77</v>
      </c>
      <c r="D3" s="13" t="s">
        <v>482</v>
      </c>
      <c r="E3" s="13" t="s">
        <v>483</v>
      </c>
      <c r="F3" s="13" t="s">
        <v>484</v>
      </c>
    </row>
    <row r="4" customFormat="false" ht="23.85" hidden="false" customHeight="false" outlineLevel="0" collapsed="false">
      <c r="A4" s="13" t="s">
        <v>115</v>
      </c>
      <c r="B4" s="13" t="s">
        <v>485</v>
      </c>
      <c r="C4" s="16" t="n">
        <v>7</v>
      </c>
      <c r="D4" s="13" t="s">
        <v>486</v>
      </c>
      <c r="E4" s="13" t="s">
        <v>487</v>
      </c>
      <c r="F4" s="13" t="s">
        <v>137</v>
      </c>
    </row>
    <row r="5" customFormat="false" ht="15" hidden="false" customHeight="false" outlineLevel="0" collapsed="false">
      <c r="A5" s="13" t="s">
        <v>115</v>
      </c>
      <c r="B5" s="13" t="s">
        <v>488</v>
      </c>
      <c r="C5" s="16" t="n">
        <v>0</v>
      </c>
      <c r="D5" s="13" t="s">
        <v>489</v>
      </c>
      <c r="E5" s="13" t="s">
        <v>115</v>
      </c>
      <c r="F5" s="13" t="s">
        <v>368</v>
      </c>
    </row>
    <row r="6" customFormat="false" ht="15" hidden="false" customHeight="false" outlineLevel="0" collapsed="false">
      <c r="A6" s="13" t="s">
        <v>115</v>
      </c>
      <c r="B6" s="13" t="s">
        <v>490</v>
      </c>
      <c r="C6" s="16" t="n">
        <v>0</v>
      </c>
      <c r="D6" s="13" t="s">
        <v>489</v>
      </c>
      <c r="E6" s="13" t="s">
        <v>115</v>
      </c>
      <c r="F6" s="13" t="s">
        <v>191</v>
      </c>
    </row>
    <row r="7" customFormat="false" ht="15" hidden="false" customHeight="false" outlineLevel="0" collapsed="false">
      <c r="A7" s="13" t="s">
        <v>115</v>
      </c>
      <c r="B7" s="13" t="s">
        <v>491</v>
      </c>
      <c r="C7" s="16" t="n">
        <v>0</v>
      </c>
      <c r="D7" s="13" t="s">
        <v>489</v>
      </c>
      <c r="E7" s="13" t="s">
        <v>115</v>
      </c>
      <c r="F7" s="13" t="s">
        <v>195</v>
      </c>
    </row>
    <row r="9" customFormat="false" ht="15" hidden="false" customHeight="false" outlineLevel="0" collapsed="false">
      <c r="B9" s="6" t="s">
        <v>492</v>
      </c>
      <c r="C9" s="17" t="n">
        <f aca="false">C2+C3</f>
        <v>372.9</v>
      </c>
    </row>
    <row r="10" customFormat="false" ht="15" hidden="false" customHeight="false" outlineLevel="0" collapsed="false">
      <c r="B10" s="18" t="s">
        <v>493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40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8" t="s">
        <v>494</v>
      </c>
      <c r="B1" s="8" t="s">
        <v>118</v>
      </c>
      <c r="C1" s="8" t="s">
        <v>495</v>
      </c>
      <c r="D1" s="8" t="s">
        <v>496</v>
      </c>
      <c r="E1" s="8" t="s">
        <v>497</v>
      </c>
      <c r="F1" s="8" t="s">
        <v>498</v>
      </c>
      <c r="G1" s="8" t="s">
        <v>499</v>
      </c>
      <c r="H1" s="8" t="s">
        <v>500</v>
      </c>
      <c r="I1" s="8" t="s">
        <v>501</v>
      </c>
      <c r="J1" s="8" t="s">
        <v>502</v>
      </c>
      <c r="K1" s="8" t="s">
        <v>213</v>
      </c>
      <c r="L1" s="8" t="s">
        <v>207</v>
      </c>
      <c r="M1" s="8" t="s">
        <v>52</v>
      </c>
    </row>
    <row r="2" customFormat="false" ht="35.05" hidden="false" customHeight="false" outlineLevel="0" collapsed="false">
      <c r="A2" s="13" t="s">
        <v>503</v>
      </c>
      <c r="B2" s="13" t="s">
        <v>504</v>
      </c>
      <c r="C2" s="13" t="s">
        <v>505</v>
      </c>
      <c r="D2" s="13" t="s">
        <v>506</v>
      </c>
      <c r="E2" s="13" t="s">
        <v>507</v>
      </c>
      <c r="F2" s="13" t="s">
        <v>508</v>
      </c>
      <c r="G2" s="13" t="s">
        <v>509</v>
      </c>
      <c r="H2" s="13" t="s">
        <v>510</v>
      </c>
      <c r="I2" s="13" t="s">
        <v>511</v>
      </c>
      <c r="J2" s="13" t="s">
        <v>512</v>
      </c>
      <c r="K2" s="13" t="s">
        <v>513</v>
      </c>
      <c r="L2" s="13" t="s">
        <v>138</v>
      </c>
      <c r="M2" s="13" t="s">
        <v>514</v>
      </c>
    </row>
    <row r="3" customFormat="false" ht="46.25" hidden="false" customHeight="false" outlineLevel="0" collapsed="false">
      <c r="A3" s="13" t="s">
        <v>515</v>
      </c>
      <c r="B3" s="13" t="s">
        <v>516</v>
      </c>
      <c r="C3" s="13" t="s">
        <v>517</v>
      </c>
      <c r="D3" s="13" t="s">
        <v>518</v>
      </c>
      <c r="E3" s="13" t="s">
        <v>519</v>
      </c>
      <c r="F3" s="13" t="s">
        <v>520</v>
      </c>
      <c r="G3" s="13" t="s">
        <v>521</v>
      </c>
      <c r="H3" s="13" t="s">
        <v>522</v>
      </c>
      <c r="I3" s="13" t="s">
        <v>523</v>
      </c>
      <c r="J3" s="13" t="s">
        <v>524</v>
      </c>
      <c r="K3" s="13" t="s">
        <v>525</v>
      </c>
      <c r="L3" s="13" t="s">
        <v>138</v>
      </c>
      <c r="M3" s="13" t="s">
        <v>526</v>
      </c>
    </row>
    <row r="4" customFormat="false" ht="35.05" hidden="false" customHeight="false" outlineLevel="0" collapsed="false">
      <c r="A4" s="14" t="s">
        <v>527</v>
      </c>
      <c r="B4" s="14" t="s">
        <v>528</v>
      </c>
      <c r="C4" s="14" t="s">
        <v>529</v>
      </c>
      <c r="D4" s="14" t="s">
        <v>518</v>
      </c>
      <c r="E4" s="14" t="s">
        <v>530</v>
      </c>
      <c r="F4" s="14" t="s">
        <v>24</v>
      </c>
      <c r="G4" s="14" t="s">
        <v>531</v>
      </c>
      <c r="H4" s="14" t="s">
        <v>532</v>
      </c>
      <c r="I4" s="14" t="s">
        <v>533</v>
      </c>
      <c r="J4" s="14" t="s">
        <v>24</v>
      </c>
      <c r="K4" s="14" t="s">
        <v>534</v>
      </c>
      <c r="L4" s="14" t="s">
        <v>535</v>
      </c>
      <c r="M4" s="14" t="s">
        <v>536</v>
      </c>
    </row>
    <row r="5" customFormat="false" ht="35.05" hidden="false" customHeight="false" outlineLevel="0" collapsed="false">
      <c r="A5" s="14" t="s">
        <v>537</v>
      </c>
      <c r="B5" s="14" t="s">
        <v>538</v>
      </c>
      <c r="C5" s="14" t="s">
        <v>505</v>
      </c>
      <c r="D5" s="14" t="s">
        <v>539</v>
      </c>
      <c r="E5" s="14" t="s">
        <v>540</v>
      </c>
      <c r="F5" s="14" t="s">
        <v>541</v>
      </c>
      <c r="G5" s="14" t="s">
        <v>115</v>
      </c>
      <c r="H5" s="14" t="s">
        <v>115</v>
      </c>
      <c r="I5" s="14" t="s">
        <v>542</v>
      </c>
      <c r="J5" s="14" t="s">
        <v>543</v>
      </c>
      <c r="K5" s="14" t="s">
        <v>525</v>
      </c>
      <c r="L5" s="14" t="s">
        <v>535</v>
      </c>
      <c r="M5" s="14" t="s">
        <v>544</v>
      </c>
    </row>
    <row r="6" customFormat="false" ht="35.05" hidden="false" customHeight="false" outlineLevel="0" collapsed="false">
      <c r="A6" s="14" t="s">
        <v>545</v>
      </c>
      <c r="B6" s="14" t="s">
        <v>546</v>
      </c>
      <c r="C6" s="14" t="s">
        <v>547</v>
      </c>
      <c r="D6" s="14" t="s">
        <v>548</v>
      </c>
      <c r="E6" s="14" t="s">
        <v>549</v>
      </c>
      <c r="F6" s="14" t="s">
        <v>24</v>
      </c>
      <c r="G6" s="14" t="s">
        <v>24</v>
      </c>
      <c r="H6" s="14" t="s">
        <v>24</v>
      </c>
      <c r="I6" s="14" t="s">
        <v>550</v>
      </c>
      <c r="J6" s="14" t="s">
        <v>24</v>
      </c>
      <c r="K6" s="14" t="s">
        <v>115</v>
      </c>
      <c r="L6" s="14" t="s">
        <v>24</v>
      </c>
      <c r="M6" s="14" t="s">
        <v>551</v>
      </c>
    </row>
    <row r="7" customFormat="false" ht="23.85" hidden="false" customHeight="false" outlineLevel="0" collapsed="false">
      <c r="A7" s="14" t="s">
        <v>552</v>
      </c>
      <c r="B7" s="14" t="s">
        <v>553</v>
      </c>
      <c r="C7" s="14" t="s">
        <v>554</v>
      </c>
      <c r="D7" s="14" t="s">
        <v>555</v>
      </c>
      <c r="E7" s="14" t="s">
        <v>24</v>
      </c>
      <c r="F7" s="14" t="s">
        <v>24</v>
      </c>
      <c r="G7" s="14" t="s">
        <v>24</v>
      </c>
      <c r="H7" s="14" t="s">
        <v>24</v>
      </c>
      <c r="I7" s="14" t="s">
        <v>556</v>
      </c>
      <c r="J7" s="14" t="s">
        <v>24</v>
      </c>
      <c r="K7" s="14" t="s">
        <v>115</v>
      </c>
      <c r="L7" s="14" t="s">
        <v>24</v>
      </c>
      <c r="M7" s="14"/>
    </row>
    <row r="8" customFormat="false" ht="23.85" hidden="false" customHeight="false" outlineLevel="0" collapsed="false">
      <c r="A8" s="14" t="s">
        <v>557</v>
      </c>
      <c r="B8" s="14" t="s">
        <v>558</v>
      </c>
      <c r="C8" s="14" t="s">
        <v>554</v>
      </c>
      <c r="D8" s="14" t="s">
        <v>559</v>
      </c>
      <c r="E8" s="14" t="s">
        <v>24</v>
      </c>
      <c r="F8" s="14" t="s">
        <v>24</v>
      </c>
      <c r="G8" s="14" t="s">
        <v>24</v>
      </c>
      <c r="H8" s="14" t="s">
        <v>24</v>
      </c>
      <c r="I8" s="14" t="s">
        <v>560</v>
      </c>
      <c r="J8" s="14" t="s">
        <v>24</v>
      </c>
      <c r="K8" s="14" t="s">
        <v>115</v>
      </c>
      <c r="L8" s="14" t="s">
        <v>24</v>
      </c>
      <c r="M8" s="14"/>
    </row>
    <row r="9" customFormat="false" ht="23.85" hidden="false" customHeight="false" outlineLevel="0" collapsed="false">
      <c r="A9" s="14" t="s">
        <v>561</v>
      </c>
      <c r="B9" s="14" t="s">
        <v>562</v>
      </c>
      <c r="C9" s="14" t="s">
        <v>554</v>
      </c>
      <c r="D9" s="14" t="s">
        <v>563</v>
      </c>
      <c r="E9" s="14" t="s">
        <v>564</v>
      </c>
      <c r="F9" s="14" t="s">
        <v>24</v>
      </c>
      <c r="G9" s="14" t="s">
        <v>24</v>
      </c>
      <c r="H9" s="14" t="s">
        <v>24</v>
      </c>
      <c r="I9" s="14" t="s">
        <v>24</v>
      </c>
      <c r="J9" s="14" t="s">
        <v>24</v>
      </c>
      <c r="K9" s="14" t="s">
        <v>115</v>
      </c>
      <c r="L9" s="14" t="s">
        <v>24</v>
      </c>
      <c r="M9" s="14" t="s">
        <v>565</v>
      </c>
    </row>
    <row r="10" customFormat="false" ht="23.85" hidden="false" customHeight="false" outlineLevel="0" collapsed="false">
      <c r="A10" s="14" t="s">
        <v>566</v>
      </c>
      <c r="B10" s="14" t="s">
        <v>567</v>
      </c>
      <c r="C10" s="14" t="s">
        <v>554</v>
      </c>
      <c r="D10" s="14" t="s">
        <v>563</v>
      </c>
      <c r="E10" s="14" t="s">
        <v>568</v>
      </c>
      <c r="F10" s="14" t="s">
        <v>24</v>
      </c>
      <c r="G10" s="14" t="s">
        <v>24</v>
      </c>
      <c r="H10" s="14" t="s">
        <v>24</v>
      </c>
      <c r="I10" s="14" t="s">
        <v>24</v>
      </c>
      <c r="J10" s="14" t="s">
        <v>24</v>
      </c>
      <c r="K10" s="14" t="s">
        <v>115</v>
      </c>
      <c r="L10" s="14" t="s">
        <v>24</v>
      </c>
      <c r="M10" s="14" t="s">
        <v>565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30" hidden="false" customHeight="true" outlineLevel="0" collapsed="false">
      <c r="A1" s="8" t="s">
        <v>494</v>
      </c>
      <c r="B1" s="8" t="s">
        <v>569</v>
      </c>
      <c r="C1" s="8" t="s">
        <v>570</v>
      </c>
      <c r="D1" s="8" t="s">
        <v>207</v>
      </c>
      <c r="E1" s="8" t="s">
        <v>213</v>
      </c>
      <c r="F1" s="8" t="s">
        <v>52</v>
      </c>
    </row>
    <row r="2" customFormat="false" ht="23.85" hidden="false" customHeight="false" outlineLevel="0" collapsed="false">
      <c r="A2" s="13" t="s">
        <v>571</v>
      </c>
      <c r="B2" s="13" t="s">
        <v>572</v>
      </c>
      <c r="C2" s="13" t="s">
        <v>573</v>
      </c>
      <c r="D2" s="13" t="s">
        <v>138</v>
      </c>
      <c r="E2" s="13" t="s">
        <v>137</v>
      </c>
      <c r="F2" s="13"/>
    </row>
    <row r="3" customFormat="false" ht="23.85" hidden="false" customHeight="false" outlineLevel="0" collapsed="false">
      <c r="A3" s="13" t="s">
        <v>574</v>
      </c>
      <c r="B3" s="13" t="s">
        <v>575</v>
      </c>
      <c r="C3" s="13" t="s">
        <v>576</v>
      </c>
      <c r="D3" s="13" t="s">
        <v>138</v>
      </c>
      <c r="E3" s="13" t="s">
        <v>137</v>
      </c>
      <c r="F3" s="13"/>
    </row>
    <row r="4" customFormat="false" ht="23.85" hidden="false" customHeight="false" outlineLevel="0" collapsed="false">
      <c r="A4" s="13" t="s">
        <v>577</v>
      </c>
      <c r="B4" s="13" t="s">
        <v>578</v>
      </c>
      <c r="C4" s="13" t="s">
        <v>579</v>
      </c>
      <c r="D4" s="13" t="s">
        <v>138</v>
      </c>
      <c r="E4" s="13" t="s">
        <v>580</v>
      </c>
      <c r="F4" s="13" t="s">
        <v>581</v>
      </c>
    </row>
    <row r="5" customFormat="false" ht="23.85" hidden="false" customHeight="false" outlineLevel="0" collapsed="false">
      <c r="A5" s="13" t="s">
        <v>582</v>
      </c>
      <c r="B5" s="13" t="s">
        <v>583</v>
      </c>
      <c r="C5" s="13" t="s">
        <v>584</v>
      </c>
      <c r="D5" s="13" t="s">
        <v>138</v>
      </c>
      <c r="E5" s="13" t="s">
        <v>585</v>
      </c>
      <c r="F5" s="13"/>
    </row>
    <row r="6" customFormat="false" ht="23.85" hidden="false" customHeight="false" outlineLevel="0" collapsed="false">
      <c r="A6" s="14" t="s">
        <v>586</v>
      </c>
      <c r="B6" s="14" t="s">
        <v>587</v>
      </c>
      <c r="C6" s="14" t="s">
        <v>115</v>
      </c>
      <c r="D6" s="14" t="s">
        <v>24</v>
      </c>
      <c r="E6" s="14" t="s">
        <v>115</v>
      </c>
      <c r="F6" s="14" t="s">
        <v>588</v>
      </c>
    </row>
    <row r="7" customFormat="false" ht="23.85" hidden="false" customHeight="false" outlineLevel="0" collapsed="false">
      <c r="A7" s="14" t="s">
        <v>589</v>
      </c>
      <c r="B7" s="14" t="s">
        <v>590</v>
      </c>
      <c r="C7" s="14" t="s">
        <v>115</v>
      </c>
      <c r="D7" s="14" t="s">
        <v>24</v>
      </c>
      <c r="E7" s="14" t="s">
        <v>115</v>
      </c>
      <c r="F7" s="14" t="s">
        <v>591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8" t="s">
        <v>592</v>
      </c>
      <c r="B1" s="8" t="s">
        <v>593</v>
      </c>
      <c r="C1" s="8" t="s">
        <v>594</v>
      </c>
      <c r="D1" s="8" t="s">
        <v>595</v>
      </c>
      <c r="E1" s="8" t="s">
        <v>596</v>
      </c>
      <c r="F1" s="8" t="s">
        <v>597</v>
      </c>
      <c r="G1" s="8" t="s">
        <v>598</v>
      </c>
      <c r="H1" s="15" t="s">
        <v>128</v>
      </c>
    </row>
    <row r="2" customFormat="false" ht="15" hidden="false" customHeight="false" outlineLevel="0" collapsed="false">
      <c r="A2" s="13" t="s">
        <v>137</v>
      </c>
      <c r="B2" s="13" t="s">
        <v>599</v>
      </c>
      <c r="C2" s="13" t="s">
        <v>600</v>
      </c>
      <c r="D2" s="13" t="s">
        <v>418</v>
      </c>
      <c r="E2" s="13" t="s">
        <v>601</v>
      </c>
      <c r="F2" s="13" t="s">
        <v>602</v>
      </c>
      <c r="G2" s="13" t="s">
        <v>603</v>
      </c>
      <c r="H2" s="5" t="s">
        <v>140</v>
      </c>
    </row>
    <row r="3" customFormat="false" ht="15" hidden="false" customHeight="false" outlineLevel="0" collapsed="false">
      <c r="A3" s="13" t="s">
        <v>362</v>
      </c>
      <c r="B3" s="13" t="s">
        <v>604</v>
      </c>
      <c r="C3" s="13" t="s">
        <v>605</v>
      </c>
      <c r="D3" s="13" t="s">
        <v>450</v>
      </c>
      <c r="E3" s="13" t="s">
        <v>601</v>
      </c>
      <c r="F3" s="13" t="s">
        <v>606</v>
      </c>
      <c r="G3" s="13" t="s">
        <v>603</v>
      </c>
      <c r="H3" s="5" t="s">
        <v>140</v>
      </c>
    </row>
    <row r="4" customFormat="false" ht="23.85" hidden="false" customHeight="false" outlineLevel="0" collapsed="false">
      <c r="A4" s="13" t="s">
        <v>441</v>
      </c>
      <c r="B4" s="13" t="s">
        <v>604</v>
      </c>
      <c r="C4" s="13" t="s">
        <v>607</v>
      </c>
      <c r="D4" s="13" t="s">
        <v>424</v>
      </c>
      <c r="E4" s="13" t="s">
        <v>601</v>
      </c>
      <c r="F4" s="13" t="s">
        <v>608</v>
      </c>
      <c r="G4" s="13" t="s">
        <v>603</v>
      </c>
      <c r="H4" s="5" t="s">
        <v>140</v>
      </c>
    </row>
    <row r="5" customFormat="false" ht="23.85" hidden="false" customHeight="false" outlineLevel="0" collapsed="false">
      <c r="A5" s="13" t="s">
        <v>321</v>
      </c>
      <c r="B5" s="13" t="s">
        <v>609</v>
      </c>
      <c r="C5" s="13" t="s">
        <v>610</v>
      </c>
      <c r="D5" s="13" t="s">
        <v>611</v>
      </c>
      <c r="E5" s="13" t="s">
        <v>612</v>
      </c>
      <c r="F5" s="13" t="s">
        <v>608</v>
      </c>
      <c r="G5" s="13" t="s">
        <v>603</v>
      </c>
      <c r="H5" s="5" t="s">
        <v>140</v>
      </c>
    </row>
    <row r="6" customFormat="false" ht="23.85" hidden="false" customHeight="false" outlineLevel="0" collapsed="false">
      <c r="A6" s="13" t="s">
        <v>375</v>
      </c>
      <c r="B6" s="13" t="s">
        <v>609</v>
      </c>
      <c r="C6" s="13" t="s">
        <v>613</v>
      </c>
      <c r="D6" s="13" t="s">
        <v>456</v>
      </c>
      <c r="E6" s="13" t="s">
        <v>612</v>
      </c>
      <c r="F6" s="13" t="s">
        <v>614</v>
      </c>
      <c r="G6" s="13" t="s">
        <v>603</v>
      </c>
      <c r="H6" s="5" t="s">
        <v>140</v>
      </c>
    </row>
    <row r="7" customFormat="false" ht="15" hidden="false" customHeight="false" outlineLevel="0" collapsed="false">
      <c r="A7" s="13" t="s">
        <v>368</v>
      </c>
      <c r="B7" s="13" t="s">
        <v>615</v>
      </c>
      <c r="C7" s="13" t="s">
        <v>616</v>
      </c>
      <c r="D7" s="13" t="s">
        <v>617</v>
      </c>
      <c r="E7" s="13" t="s">
        <v>601</v>
      </c>
      <c r="F7" s="13" t="s">
        <v>618</v>
      </c>
      <c r="G7" s="13" t="s">
        <v>603</v>
      </c>
      <c r="H7" s="5" t="s">
        <v>140</v>
      </c>
    </row>
    <row r="8" customFormat="false" ht="23.85" hidden="false" customHeight="false" outlineLevel="0" collapsed="false">
      <c r="A8" s="13" t="s">
        <v>191</v>
      </c>
      <c r="B8" s="13" t="s">
        <v>604</v>
      </c>
      <c r="C8" s="13" t="s">
        <v>619</v>
      </c>
      <c r="D8" s="13" t="s">
        <v>620</v>
      </c>
      <c r="E8" s="13" t="s">
        <v>601</v>
      </c>
      <c r="F8" s="13" t="s">
        <v>621</v>
      </c>
      <c r="G8" s="13" t="s">
        <v>603</v>
      </c>
      <c r="H8" s="5" t="s">
        <v>140</v>
      </c>
    </row>
    <row r="9" customFormat="false" ht="15" hidden="false" customHeight="false" outlineLevel="0" collapsed="false">
      <c r="A9" s="13" t="s">
        <v>195</v>
      </c>
      <c r="B9" s="13" t="s">
        <v>142</v>
      </c>
      <c r="C9" s="13" t="s">
        <v>622</v>
      </c>
      <c r="D9" s="13" t="s">
        <v>623</v>
      </c>
      <c r="E9" s="13" t="s">
        <v>624</v>
      </c>
      <c r="F9" s="13" t="s">
        <v>614</v>
      </c>
      <c r="G9" s="13" t="s">
        <v>603</v>
      </c>
      <c r="H9" s="5" t="s">
        <v>140</v>
      </c>
    </row>
    <row r="10" customFormat="false" ht="23.85" hidden="false" customHeight="false" outlineLevel="0" collapsed="false">
      <c r="A10" s="13" t="s">
        <v>625</v>
      </c>
      <c r="B10" s="13" t="s">
        <v>142</v>
      </c>
      <c r="C10" s="13" t="s">
        <v>626</v>
      </c>
      <c r="D10" s="13" t="s">
        <v>627</v>
      </c>
      <c r="E10" s="13" t="s">
        <v>601</v>
      </c>
      <c r="F10" s="13" t="s">
        <v>614</v>
      </c>
      <c r="G10" s="13" t="s">
        <v>603</v>
      </c>
      <c r="H10" s="5" t="s">
        <v>140</v>
      </c>
    </row>
    <row r="11" customFormat="false" ht="46.25" hidden="false" customHeight="false" outlineLevel="0" collapsed="false">
      <c r="A11" s="13" t="s">
        <v>236</v>
      </c>
      <c r="B11" s="13" t="s">
        <v>142</v>
      </c>
      <c r="C11" s="13" t="s">
        <v>628</v>
      </c>
      <c r="D11" s="13" t="s">
        <v>629</v>
      </c>
      <c r="E11" s="13" t="s">
        <v>601</v>
      </c>
      <c r="F11" s="13" t="s">
        <v>630</v>
      </c>
      <c r="G11" s="13" t="s">
        <v>603</v>
      </c>
      <c r="H11" s="5" t="s">
        <v>140</v>
      </c>
    </row>
    <row r="12" customFormat="false" ht="35.05" hidden="false" customHeight="false" outlineLevel="0" collapsed="false">
      <c r="A12" s="14" t="s">
        <v>631</v>
      </c>
      <c r="B12" s="14" t="s">
        <v>142</v>
      </c>
      <c r="C12" s="14" t="s">
        <v>632</v>
      </c>
      <c r="D12" s="14" t="s">
        <v>633</v>
      </c>
      <c r="E12" s="14" t="s">
        <v>601</v>
      </c>
      <c r="F12" s="14" t="s">
        <v>634</v>
      </c>
      <c r="G12" s="14" t="s">
        <v>635</v>
      </c>
      <c r="H12" s="5" t="s">
        <v>140</v>
      </c>
    </row>
    <row r="13" customFormat="false" ht="23.85" hidden="false" customHeight="false" outlineLevel="0" collapsed="false">
      <c r="A13" s="14" t="s">
        <v>636</v>
      </c>
      <c r="B13" s="14" t="s">
        <v>142</v>
      </c>
      <c r="C13" s="14" t="s">
        <v>637</v>
      </c>
      <c r="D13" s="14" t="s">
        <v>638</v>
      </c>
      <c r="E13" s="14" t="s">
        <v>601</v>
      </c>
      <c r="F13" s="14" t="s">
        <v>634</v>
      </c>
      <c r="G13" s="14" t="s">
        <v>635</v>
      </c>
      <c r="H13" s="5" t="s">
        <v>140</v>
      </c>
    </row>
    <row r="14" customFormat="false" ht="23.85" hidden="false" customHeight="false" outlineLevel="0" collapsed="false">
      <c r="A14" s="13" t="s">
        <v>445</v>
      </c>
      <c r="B14" s="13" t="s">
        <v>639</v>
      </c>
      <c r="C14" s="13" t="s">
        <v>640</v>
      </c>
      <c r="D14" s="13" t="s">
        <v>641</v>
      </c>
      <c r="E14" s="13" t="s">
        <v>642</v>
      </c>
      <c r="F14" s="13" t="s">
        <v>643</v>
      </c>
      <c r="G14" s="13" t="s">
        <v>603</v>
      </c>
      <c r="H14" s="5" t="s">
        <v>140</v>
      </c>
    </row>
    <row r="15" customFormat="false" ht="23.85" hidden="false" customHeight="false" outlineLevel="0" collapsed="false">
      <c r="A15" s="13" t="s">
        <v>644</v>
      </c>
      <c r="B15" s="13" t="s">
        <v>639</v>
      </c>
      <c r="C15" s="13" t="s">
        <v>645</v>
      </c>
      <c r="D15" s="13" t="s">
        <v>646</v>
      </c>
      <c r="E15" s="13" t="s">
        <v>642</v>
      </c>
      <c r="F15" s="13" t="s">
        <v>643</v>
      </c>
      <c r="G15" s="13" t="s">
        <v>603</v>
      </c>
      <c r="H15" s="5" t="s">
        <v>140</v>
      </c>
    </row>
    <row r="16" customFormat="false" ht="23.85" hidden="false" customHeight="false" outlineLevel="0" collapsed="false">
      <c r="A16" s="19" t="s">
        <v>261</v>
      </c>
      <c r="B16" s="19" t="s">
        <v>647</v>
      </c>
      <c r="C16" s="19" t="s">
        <v>648</v>
      </c>
      <c r="D16" s="19" t="s">
        <v>649</v>
      </c>
      <c r="E16" s="19" t="s">
        <v>650</v>
      </c>
      <c r="F16" s="19" t="s">
        <v>651</v>
      </c>
      <c r="G16" s="19" t="s">
        <v>603</v>
      </c>
      <c r="H16" s="20" t="s">
        <v>140</v>
      </c>
    </row>
    <row r="17" customFormat="false" ht="23.85" hidden="false" customHeight="false" outlineLevel="0" collapsed="false">
      <c r="A17" s="19" t="s">
        <v>313</v>
      </c>
      <c r="B17" s="19" t="s">
        <v>652</v>
      </c>
      <c r="C17" s="19" t="s">
        <v>653</v>
      </c>
      <c r="D17" s="19" t="s">
        <v>654</v>
      </c>
      <c r="E17" s="19" t="s">
        <v>655</v>
      </c>
      <c r="F17" s="19" t="s">
        <v>656</v>
      </c>
      <c r="G17" s="19" t="s">
        <v>603</v>
      </c>
      <c r="H17" s="20" t="s">
        <v>140</v>
      </c>
    </row>
    <row r="18" customFormat="false" ht="35.05" hidden="false" customHeight="false" outlineLevel="0" collapsed="false">
      <c r="A18" s="13" t="s">
        <v>513</v>
      </c>
      <c r="B18" s="13" t="s">
        <v>142</v>
      </c>
      <c r="C18" s="13" t="s">
        <v>657</v>
      </c>
      <c r="D18" s="13" t="s">
        <v>658</v>
      </c>
      <c r="E18" s="13" t="s">
        <v>659</v>
      </c>
      <c r="F18" s="13" t="s">
        <v>660</v>
      </c>
      <c r="G18" s="13" t="s">
        <v>603</v>
      </c>
      <c r="H18" s="5" t="s">
        <v>140</v>
      </c>
    </row>
    <row r="19" customFormat="false" ht="23.85" hidden="false" customHeight="false" outlineLevel="0" collapsed="false">
      <c r="A19" s="13" t="s">
        <v>525</v>
      </c>
      <c r="B19" s="13" t="s">
        <v>661</v>
      </c>
      <c r="C19" s="13" t="s">
        <v>662</v>
      </c>
      <c r="D19" s="13" t="s">
        <v>663</v>
      </c>
      <c r="E19" s="13" t="s">
        <v>659</v>
      </c>
      <c r="F19" s="13" t="s">
        <v>664</v>
      </c>
      <c r="G19" s="13" t="s">
        <v>603</v>
      </c>
      <c r="H19" s="5" t="s">
        <v>140</v>
      </c>
    </row>
    <row r="20" customFormat="false" ht="35.05" hidden="false" customHeight="false" outlineLevel="0" collapsed="false">
      <c r="A20" s="13" t="s">
        <v>534</v>
      </c>
      <c r="B20" s="13" t="s">
        <v>661</v>
      </c>
      <c r="C20" s="13" t="s">
        <v>665</v>
      </c>
      <c r="D20" s="13" t="s">
        <v>666</v>
      </c>
      <c r="E20" s="13" t="s">
        <v>667</v>
      </c>
      <c r="F20" s="13" t="s">
        <v>668</v>
      </c>
      <c r="G20" s="13" t="s">
        <v>603</v>
      </c>
      <c r="H20" s="5" t="s">
        <v>140</v>
      </c>
    </row>
    <row r="21" customFormat="false" ht="15" hidden="false" customHeight="false" outlineLevel="0" collapsed="false">
      <c r="A21" s="13" t="s">
        <v>669</v>
      </c>
      <c r="B21" s="13" t="s">
        <v>142</v>
      </c>
      <c r="C21" s="13" t="s">
        <v>670</v>
      </c>
      <c r="D21" s="13" t="s">
        <v>429</v>
      </c>
      <c r="E21" s="13" t="s">
        <v>671</v>
      </c>
      <c r="F21" s="13" t="s">
        <v>115</v>
      </c>
      <c r="G21" s="13" t="s">
        <v>672</v>
      </c>
      <c r="H21" s="5" t="s">
        <v>140</v>
      </c>
    </row>
    <row r="22" customFormat="false" ht="23.85" hidden="false" customHeight="false" outlineLevel="0" collapsed="false">
      <c r="A22" s="13" t="s">
        <v>673</v>
      </c>
      <c r="B22" s="13" t="s">
        <v>142</v>
      </c>
      <c r="C22" s="13" t="s">
        <v>674</v>
      </c>
      <c r="D22" s="13" t="s">
        <v>435</v>
      </c>
      <c r="E22" s="13" t="s">
        <v>671</v>
      </c>
      <c r="F22" s="13" t="s">
        <v>115</v>
      </c>
      <c r="G22" s="13" t="s">
        <v>672</v>
      </c>
      <c r="H22" s="5" t="s">
        <v>140</v>
      </c>
    </row>
    <row r="23" customFormat="false" ht="23.85" hidden="false" customHeight="false" outlineLevel="0" collapsed="false">
      <c r="A23" s="13" t="s">
        <v>585</v>
      </c>
      <c r="B23" s="13" t="s">
        <v>675</v>
      </c>
      <c r="C23" s="13" t="s">
        <v>676</v>
      </c>
      <c r="D23" s="13" t="s">
        <v>677</v>
      </c>
      <c r="E23" s="13" t="s">
        <v>601</v>
      </c>
      <c r="F23" s="13" t="s">
        <v>678</v>
      </c>
      <c r="G23" s="13" t="s">
        <v>603</v>
      </c>
      <c r="H23" s="5" t="s">
        <v>140</v>
      </c>
    </row>
    <row r="24" customFormat="false" ht="15" hidden="false" customHeight="false" outlineLevel="0" collapsed="false">
      <c r="A24" s="13" t="s">
        <v>679</v>
      </c>
      <c r="B24" s="13" t="s">
        <v>680</v>
      </c>
      <c r="C24" s="13" t="s">
        <v>681</v>
      </c>
      <c r="D24" s="13" t="s">
        <v>682</v>
      </c>
      <c r="E24" s="13" t="s">
        <v>683</v>
      </c>
      <c r="F24" s="13" t="s">
        <v>115</v>
      </c>
      <c r="G24" s="13" t="s">
        <v>684</v>
      </c>
      <c r="H24" s="5" t="s">
        <v>140</v>
      </c>
    </row>
  </sheetData>
  <autoFilter ref="A1:G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2026-10-28T22:06:53Z</dcterms:created>
  <dc:creator>openpyxl</dc:creator>
  <dc:description/>
  <dc:language>en-US</dc:language>
  <cp:lastModifiedBy/>
  <dcterms:modified xsi:type="dcterms:W3CDTF">2026-10-28T22:06:53Z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